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ravanAlla\Downloads\"/>
    </mc:Choice>
  </mc:AlternateContent>
  <xr:revisionPtr revIDLastSave="0" documentId="13_ncr:1_{7E7C80F5-3DBD-438A-A349-7057D8C67436}" xr6:coauthVersionLast="47" xr6:coauthVersionMax="47" xr10:uidLastSave="{00000000-0000-0000-0000-000000000000}"/>
  <bookViews>
    <workbookView xWindow="-110" yWindow="-110" windowWidth="19420" windowHeight="11500" tabRatio="500" firstSheet="1" activeTab="3" xr2:uid="{00000000-000D-0000-FFFF-FFFF00000000}"/>
  </bookViews>
  <sheets>
    <sheet name="00_Home" sheetId="1" r:id="rId1"/>
    <sheet name="Executive_Dashboard" sheetId="2" r:id="rId2"/>
    <sheet name="Detailed_Task_Plan" sheetId="4" r:id="rId3"/>
    <sheet name="Budget_Tracker" sheetId="5" r:id="rId4"/>
    <sheet name="Milestone_Tracker" sheetId="6" r:id="rId5"/>
    <sheet name="Resource_Plan" sheetId="7" r:id="rId6"/>
    <sheet name="RAID_Register" sheetId="8" r:id="rId7"/>
    <sheet name="RACI_Matrix" sheetId="9" r:id="rId8"/>
    <sheet name="Change_Log" sheetId="11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8" i="8" l="1"/>
  <c r="F27" i="8"/>
  <c r="F26" i="8"/>
  <c r="F22" i="8"/>
  <c r="F18" i="8"/>
  <c r="F17" i="8"/>
  <c r="F16" i="8"/>
  <c r="F15" i="8"/>
  <c r="F14" i="8"/>
  <c r="F10" i="8"/>
  <c r="F9" i="8"/>
  <c r="F8" i="8"/>
  <c r="F24" i="2" s="1"/>
  <c r="F7" i="8"/>
  <c r="F23" i="2" s="1"/>
  <c r="F6" i="8"/>
  <c r="F5" i="8"/>
  <c r="J7" i="7"/>
  <c r="I7" i="7"/>
  <c r="J6" i="7"/>
  <c r="I6" i="7"/>
  <c r="J5" i="7"/>
  <c r="I5" i="7"/>
  <c r="J4" i="7"/>
  <c r="I4" i="7"/>
  <c r="J3" i="7"/>
  <c r="I3" i="7"/>
  <c r="H10" i="6"/>
  <c r="H9" i="6"/>
  <c r="H8" i="6"/>
  <c r="H7" i="6"/>
  <c r="H6" i="6"/>
  <c r="H5" i="6"/>
  <c r="H4" i="6"/>
  <c r="H3" i="6"/>
  <c r="B22" i="5"/>
  <c r="B20" i="5"/>
  <c r="G15" i="5"/>
  <c r="B19" i="5" s="1"/>
  <c r="F15" i="5"/>
  <c r="D15" i="5"/>
  <c r="G14" i="5"/>
  <c r="E14" i="5"/>
  <c r="H14" i="5" s="1"/>
  <c r="I14" i="5" s="1"/>
  <c r="H13" i="5"/>
  <c r="I13" i="5" s="1"/>
  <c r="G13" i="5"/>
  <c r="E13" i="5"/>
  <c r="G12" i="5"/>
  <c r="E12" i="5"/>
  <c r="H12" i="5" s="1"/>
  <c r="I12" i="5" s="1"/>
  <c r="H11" i="5"/>
  <c r="I11" i="5" s="1"/>
  <c r="G11" i="5"/>
  <c r="E11" i="5"/>
  <c r="G10" i="5"/>
  <c r="E10" i="5"/>
  <c r="E15" i="5" s="1"/>
  <c r="B18" i="5" s="1"/>
  <c r="B6" i="5"/>
  <c r="B21" i="5" s="1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H25" i="2"/>
  <c r="G25" i="2"/>
  <c r="F25" i="2"/>
  <c r="E25" i="2"/>
  <c r="D25" i="2"/>
  <c r="C25" i="2"/>
  <c r="B25" i="2"/>
  <c r="A25" i="2"/>
  <c r="H24" i="2"/>
  <c r="G24" i="2"/>
  <c r="E24" i="2"/>
  <c r="D24" i="2"/>
  <c r="C24" i="2"/>
  <c r="B24" i="2"/>
  <c r="A24" i="2"/>
  <c r="H23" i="2"/>
  <c r="G23" i="2"/>
  <c r="E23" i="2"/>
  <c r="D23" i="2"/>
  <c r="C23" i="2"/>
  <c r="B23" i="2"/>
  <c r="A23" i="2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H20" i="2"/>
  <c r="G20" i="2"/>
  <c r="F20" i="2"/>
  <c r="E20" i="2"/>
  <c r="D20" i="2"/>
  <c r="C20" i="2"/>
  <c r="B20" i="2"/>
  <c r="A20" i="2"/>
  <c r="I5" i="2"/>
  <c r="G5" i="2"/>
  <c r="E5" i="2"/>
  <c r="C5" i="2"/>
  <c r="A5" i="2"/>
  <c r="H10" i="5" l="1"/>
  <c r="I10" i="5" l="1"/>
  <c r="H15" i="5"/>
  <c r="I15" i="5" s="1"/>
</calcChain>
</file>

<file path=xl/sharedStrings.xml><?xml version="1.0" encoding="utf-8"?>
<sst xmlns="http://schemas.openxmlformats.org/spreadsheetml/2006/main" count="956" uniqueCount="373">
  <si>
    <t>PROJECT AURA  ·  AI-Powered Project Management</t>
  </si>
  <si>
    <t>ABC Retail Corporation — GenAI Customer Analytics Platform</t>
  </si>
  <si>
    <t>PROJECT SUMMARY</t>
  </si>
  <si>
    <t>PROJECT HEALTH</t>
  </si>
  <si>
    <t>Project Name</t>
  </si>
  <si>
    <t>ABC Retail Corporation — AI Customer Analytics</t>
  </si>
  <si>
    <t>Overall Status</t>
  </si>
  <si>
    <t>AMBER — review milestone tracker</t>
  </si>
  <si>
    <t>Client</t>
  </si>
  <si>
    <t>ABC Retail Corporation</t>
  </si>
  <si>
    <t>Schedule</t>
  </si>
  <si>
    <t>AMBER — update actuals in Task Plan</t>
  </si>
  <si>
    <t>Service Provider</t>
  </si>
  <si>
    <t>XYZ Technology Solutions</t>
  </si>
  <si>
    <t>Budget</t>
  </si>
  <si>
    <t>GREEN — update in Budget Tracker</t>
  </si>
  <si>
    <t>Project Type</t>
  </si>
  <si>
    <t>GenAI / AI Implementation</t>
  </si>
  <si>
    <t>Resources</t>
  </si>
  <si>
    <t>AMBER — all at 100%, review allocation</t>
  </si>
  <si>
    <t>Delivery Model</t>
  </si>
  <si>
    <t>Fixed Price</t>
  </si>
  <si>
    <t>Risks</t>
  </si>
  <si>
    <t>RED — 6 open risks, none mitigated</t>
  </si>
  <si>
    <t>Start Date</t>
  </si>
  <si>
    <t>End Date</t>
  </si>
  <si>
    <t>Duration</t>
  </si>
  <si>
    <t>16 weeks</t>
  </si>
  <si>
    <t>Team Size</t>
  </si>
  <si>
    <t>PM</t>
  </si>
  <si>
    <t>Last Updated</t>
  </si>
  <si>
    <t>NAVIGATION</t>
  </si>
  <si>
    <t>01_Executive_Dashboard</t>
  </si>
  <si>
    <t>Executive KPIs, budget burn, schedule health</t>
  </si>
  <si>
    <t>02_Project_Charter</t>
  </si>
  <si>
    <t>Project scope, objectives, assumptions, constraints</t>
  </si>
  <si>
    <t>03_Detailed_Task_Plan</t>
  </si>
  <si>
    <t>WBS task list with actuals, dependencies, % complete</t>
  </si>
  <si>
    <t>04_Budget_Tracker</t>
  </si>
  <si>
    <t>Cost plan vs actuals, burn rate, variance  ← NEW</t>
  </si>
  <si>
    <t>05_Milestone_Tracker</t>
  </si>
  <si>
    <t>Key milestones with RAG status and variance</t>
  </si>
  <si>
    <t>06_Resource_Plan</t>
  </si>
  <si>
    <t>Weekly allocation, utilisation flags</t>
  </si>
  <si>
    <t>07_RAID_Register</t>
  </si>
  <si>
    <t>Risks, Assumptions, Issues, Dependencies</t>
  </si>
  <si>
    <t>08_RACI_Matrix</t>
  </si>
  <si>
    <t>Responsibility assignments</t>
  </si>
  <si>
    <t>09_Weekly_Status</t>
  </si>
  <si>
    <t>Weekly status reports (fill every Friday)  ← NEW</t>
  </si>
  <si>
    <t>10_Change_Log</t>
  </si>
  <si>
    <t>Scope, schedule, budget change requests  ← NEW</t>
  </si>
  <si>
    <t>EXECUTIVE PROJECT DASHBOARD</t>
  </si>
  <si>
    <t>KEY METRICS</t>
  </si>
  <si>
    <t>Schedule %</t>
  </si>
  <si>
    <t>Budget Burn %</t>
  </si>
  <si>
    <t>Milestones Done</t>
  </si>
  <si>
    <t>Open Risks</t>
  </si>
  <si>
    <t>Open Issues</t>
  </si>
  <si>
    <t>PHASE SUMMARY</t>
  </si>
  <si>
    <t>Phase</t>
  </si>
  <si>
    <t>Start</t>
  </si>
  <si>
    <t>End</t>
  </si>
  <si>
    <t>Owner</t>
  </si>
  <si>
    <t>Status</t>
  </si>
  <si>
    <t>% Complete</t>
  </si>
  <si>
    <t>RAG</t>
  </si>
  <si>
    <t>Initiation</t>
  </si>
  <si>
    <t>2026-07-08</t>
  </si>
  <si>
    <t>2026-07-15</t>
  </si>
  <si>
    <t>1w</t>
  </si>
  <si>
    <t>Planned</t>
  </si>
  <si>
    <t>0%</t>
  </si>
  <si>
    <t>AMBER</t>
  </si>
  <si>
    <t>Discovery</t>
  </si>
  <si>
    <t>2026-07-29</t>
  </si>
  <si>
    <t>2w</t>
  </si>
  <si>
    <t>BA</t>
  </si>
  <si>
    <t>Design</t>
  </si>
  <si>
    <t>2026-08-12</t>
  </si>
  <si>
    <t>Architect</t>
  </si>
  <si>
    <t>Development</t>
  </si>
  <si>
    <t>2026-09-16</t>
  </si>
  <si>
    <t>5w</t>
  </si>
  <si>
    <t>Dev Lead</t>
  </si>
  <si>
    <t>Testing</t>
  </si>
  <si>
    <t>2026-09-30</t>
  </si>
  <si>
    <t>QA Lead</t>
  </si>
  <si>
    <t>UAT</t>
  </si>
  <si>
    <t>2026-10-07</t>
  </si>
  <si>
    <t>Client PM</t>
  </si>
  <si>
    <t>Deployment</t>
  </si>
  <si>
    <t>2026-10-14</t>
  </si>
  <si>
    <t>DevOps</t>
  </si>
  <si>
    <t>Hypercare</t>
  </si>
  <si>
    <t>2026-10-28</t>
  </si>
  <si>
    <t>TOP RISKS (from RAID Register)</t>
  </si>
  <si>
    <t>ID</t>
  </si>
  <si>
    <t>Description</t>
  </si>
  <si>
    <t>Impact</t>
  </si>
  <si>
    <t>Probability</t>
  </si>
  <si>
    <t>Score</t>
  </si>
  <si>
    <t>Mitigation</t>
  </si>
  <si>
    <t>ASSUMPTIONS</t>
  </si>
  <si>
    <t>A1</t>
  </si>
  <si>
    <t>A2</t>
  </si>
  <si>
    <t>A3</t>
  </si>
  <si>
    <t>A4</t>
  </si>
  <si>
    <t>A5</t>
  </si>
  <si>
    <t>DETAILED TASK PLAN (WBS)</t>
  </si>
  <si>
    <t>Blue cells = fill in | Green cells = formula (do not edit) | Status dropdown: Not Started / In Progress / Done / On Hold / Cancelled</t>
  </si>
  <si>
    <t>WBS</t>
  </si>
  <si>
    <t>Task / Deliverable</t>
  </si>
  <si>
    <t>Predecessor</t>
  </si>
  <si>
    <t>Planned Start</t>
  </si>
  <si>
    <t>Planned End</t>
  </si>
  <si>
    <t>Actual Start</t>
  </si>
  <si>
    <t>Actual End</t>
  </si>
  <si>
    <t>Planned Days</t>
  </si>
  <si>
    <t>Actual Days</t>
  </si>
  <si>
    <t>Comments</t>
  </si>
  <si>
    <t>1.0</t>
  </si>
  <si>
    <t>Project kickoff</t>
  </si>
  <si>
    <t>Not Started</t>
  </si>
  <si>
    <t>1.1</t>
  </si>
  <si>
    <t>Project charter sign-off</t>
  </si>
  <si>
    <t>2026-07-12</t>
  </si>
  <si>
    <t>1.2</t>
  </si>
  <si>
    <t>Stakeholder register</t>
  </si>
  <si>
    <t>2.0</t>
  </si>
  <si>
    <t>Requirements gathering</t>
  </si>
  <si>
    <t>2.1</t>
  </si>
  <si>
    <t>Current-state data assessment</t>
  </si>
  <si>
    <t>2026-07-22</t>
  </si>
  <si>
    <t>2.2</t>
  </si>
  <si>
    <t>AI use-case definition</t>
  </si>
  <si>
    <t>2.3</t>
  </si>
  <si>
    <t>Requirements doc sign-off</t>
  </si>
  <si>
    <t>3.0</t>
  </si>
  <si>
    <t>Solution architecture</t>
  </si>
  <si>
    <t>3.1</t>
  </si>
  <si>
    <t>Data pipeline design</t>
  </si>
  <si>
    <t>2026-08-05</t>
  </si>
  <si>
    <t>3.2</t>
  </si>
  <si>
    <t>AI model selection &amp; design</t>
  </si>
  <si>
    <t>3.3</t>
  </si>
  <si>
    <t>API contract definition</t>
  </si>
  <si>
    <t>Tech Lead</t>
  </si>
  <si>
    <t>3.4</t>
  </si>
  <si>
    <t>Design spec sign-off</t>
  </si>
  <si>
    <t>4.0</t>
  </si>
  <si>
    <t>Core development</t>
  </si>
  <si>
    <t>4.1</t>
  </si>
  <si>
    <t>Data ingestion pipeline</t>
  </si>
  <si>
    <t>Developer</t>
  </si>
  <si>
    <t>2026-08-26</t>
  </si>
  <si>
    <t>4.2</t>
  </si>
  <si>
    <t>AI model training pipeline</t>
  </si>
  <si>
    <t>2026-09-02</t>
  </si>
  <si>
    <t>4.3</t>
  </si>
  <si>
    <t>API layer development</t>
  </si>
  <si>
    <t>2026-09-09</t>
  </si>
  <si>
    <t>4.4</t>
  </si>
  <si>
    <t>Dashboard UI development</t>
  </si>
  <si>
    <t>4.5</t>
  </si>
  <si>
    <t>Code review &amp; quality gate</t>
  </si>
  <si>
    <t>5.0</t>
  </si>
  <si>
    <t>QA testing</t>
  </si>
  <si>
    <t>5.1</t>
  </si>
  <si>
    <t>Unit &amp; integration testing</t>
  </si>
  <si>
    <t>2026-09-23</t>
  </si>
  <si>
    <t>5.2</t>
  </si>
  <si>
    <t>Performance &amp; load testing</t>
  </si>
  <si>
    <t>5.3</t>
  </si>
  <si>
    <t>Security audit</t>
  </si>
  <si>
    <t>6.0</t>
  </si>
  <si>
    <t>User acceptance testing</t>
  </si>
  <si>
    <t>6.1</t>
  </si>
  <si>
    <t>UAT test execution</t>
  </si>
  <si>
    <t>2026-10-05</t>
  </si>
  <si>
    <t>6.2</t>
  </si>
  <si>
    <t>Bug fixes from UAT</t>
  </si>
  <si>
    <t>6.3</t>
  </si>
  <si>
    <t>UAT sign-off</t>
  </si>
  <si>
    <t>7.0</t>
  </si>
  <si>
    <t>Production deployment</t>
  </si>
  <si>
    <t>7.1</t>
  </si>
  <si>
    <t>Deployment runbook prep</t>
  </si>
  <si>
    <t>2026-10-10</t>
  </si>
  <si>
    <t>7.2</t>
  </si>
  <si>
    <t>Go-live deployment</t>
  </si>
  <si>
    <t>7.3</t>
  </si>
  <si>
    <t>Go-live sign-off</t>
  </si>
  <si>
    <t>8.0</t>
  </si>
  <si>
    <t>Hypercare &amp; support</t>
  </si>
  <si>
    <t>8.1</t>
  </si>
  <si>
    <t>Daily stand-ups &amp; monitoring</t>
  </si>
  <si>
    <t>8.2</t>
  </si>
  <si>
    <t>Lessons learned session</t>
  </si>
  <si>
    <t>2026-10-24</t>
  </si>
  <si>
    <t>8.3</t>
  </si>
  <si>
    <t>Project closure report</t>
  </si>
  <si>
    <t>BUDGET TRACKER  ·  NEW</t>
  </si>
  <si>
    <t>CONTRACT SUMMARY</t>
  </si>
  <si>
    <t>Total Contract Value ($)</t>
  </si>
  <si>
    <t>← update this</t>
  </si>
  <si>
    <t>Contingency Reserve ($)</t>
  </si>
  <si>
    <t>← typical 10%</t>
  </si>
  <si>
    <t>Baseline Budget ($)</t>
  </si>
  <si>
    <t>RESOURCE COST PLAN vs ACTUALS</t>
  </si>
  <si>
    <t>Resource</t>
  </si>
  <si>
    <t>Role</t>
  </si>
  <si>
    <t>Daily Rate ($)</t>
  </si>
  <si>
    <t>Planned Cost ($)</t>
  </si>
  <si>
    <t>Actual Cost ($)</t>
  </si>
  <si>
    <t>Variance ($)</t>
  </si>
  <si>
    <t>Variance %</t>
  </si>
  <si>
    <t>PM_1</t>
  </si>
  <si>
    <t>TechLead_1</t>
  </si>
  <si>
    <t>Developer_1</t>
  </si>
  <si>
    <t>QAEngineer_1</t>
  </si>
  <si>
    <t>QA Engineer</t>
  </si>
  <si>
    <t>DevOps_1</t>
  </si>
  <si>
    <t>TOTALS</t>
  </si>
  <si>
    <t>BURN RATE SUMMARY</t>
  </si>
  <si>
    <t>Total Planned Cost ($)</t>
  </si>
  <si>
    <t>Total Actual Cost ($)</t>
  </si>
  <si>
    <t>Cost Variance ($)</t>
  </si>
  <si>
    <t>Remaining Budget ($)</t>
  </si>
  <si>
    <t>MILESTONE TRACKER</t>
  </si>
  <si>
    <t>Milestone</t>
  </si>
  <si>
    <t>Planned Date</t>
  </si>
  <si>
    <t>Actual Date</t>
  </si>
  <si>
    <t>Priority</t>
  </si>
  <si>
    <t>Days Variance</t>
  </si>
  <si>
    <t>Remarks</t>
  </si>
  <si>
    <t>M1</t>
  </si>
  <si>
    <t>Project Kickoff</t>
  </si>
  <si>
    <t>Complete</t>
  </si>
  <si>
    <t>High</t>
  </si>
  <si>
    <t>M2</t>
  </si>
  <si>
    <t>Requirements Sign-off</t>
  </si>
  <si>
    <t>M3</t>
  </si>
  <si>
    <t>Design Review &amp; Approval</t>
  </si>
  <si>
    <t>M4</t>
  </si>
  <si>
    <t>Development Complete</t>
  </si>
  <si>
    <t>M5</t>
  </si>
  <si>
    <t>QA Testing Complete</t>
  </si>
  <si>
    <t>M6</t>
  </si>
  <si>
    <t>UAT Sign-off</t>
  </si>
  <si>
    <t>M7</t>
  </si>
  <si>
    <t>Go-Live</t>
  </si>
  <si>
    <t>Critical</t>
  </si>
  <si>
    <t>M8</t>
  </si>
  <si>
    <t>Hypercare Complete</t>
  </si>
  <si>
    <t>Medium</t>
  </si>
  <si>
    <t>RESOURCE PLAN  ·  Weekly Allocation</t>
  </si>
  <si>
    <t>Dept</t>
  </si>
  <si>
    <t>Planned Hrs</t>
  </si>
  <si>
    <t>Actual Hrs</t>
  </si>
  <si>
    <t>Allocation %</t>
  </si>
  <si>
    <t>Utilisation %</t>
  </si>
  <si>
    <t>Flag</t>
  </si>
  <si>
    <t>Delivery</t>
  </si>
  <si>
    <t>80%</t>
  </si>
  <si>
    <t>Engineering</t>
  </si>
  <si>
    <t>Quality</t>
  </si>
  <si>
    <t>Note: Max recommended allocation is 80% to allow for meetings, admin, and leave. Flag highlights resources &gt;90%.</t>
  </si>
  <si>
    <t>RAID REGISTER  ·  Risks · Assumptions · Issues · Dependencies</t>
  </si>
  <si>
    <t>RISKS</t>
  </si>
  <si>
    <t>Type</t>
  </si>
  <si>
    <t>Impact (1-5)</t>
  </si>
  <si>
    <t>Probability (1-5)</t>
  </si>
  <si>
    <t>Risk Score</t>
  </si>
  <si>
    <t>Mitigation / Action</t>
  </si>
  <si>
    <t>R1</t>
  </si>
  <si>
    <t>Risk</t>
  </si>
  <si>
    <t>Requirement scope creep — client adds features mid-sprint</t>
  </si>
  <si>
    <t>Conduct detailed requirements workshops; freeze scope after sign-off (Week 2). All changes go through formal change request.</t>
  </si>
  <si>
    <t>Open</t>
  </si>
  <si>
    <t>R2</t>
  </si>
  <si>
    <t>Integration failures with existing retail data systems</t>
  </si>
  <si>
    <t>Define API contracts in Week 3. Run integration smoke tests in each sprint. Maintain a fallback data-sync approach.</t>
  </si>
  <si>
    <t>R3</t>
  </si>
  <si>
    <t>AI model performance below 85% accuracy threshold</t>
  </si>
  <si>
    <t>Run baseline model benchmarks in Discovery. Allocate 1 extra sprint buffer for model tuning if needed.</t>
  </si>
  <si>
    <t>R4</t>
  </si>
  <si>
    <t>Security vulnerabilities in AI API endpoints</t>
  </si>
  <si>
    <t>Include security audit in testing phase (Week 11). Follow OWASP API security checklist. Penetration test before UAT.</t>
  </si>
  <si>
    <t>R5</t>
  </si>
  <si>
    <t>Client data delivery delays blocking development</t>
  </si>
  <si>
    <t>Formally request data assets in Week 1. Escalate to sponsor if not received by Week 3.</t>
  </si>
  <si>
    <t>R6</t>
  </si>
  <si>
    <t>Testing coverage gaps leading to production defects</t>
  </si>
  <si>
    <t>Develop test plan with 90% coverage target. Automate regression suite. Include performance and load tests.</t>
  </si>
  <si>
    <t>Assumption</t>
  </si>
  <si>
    <t>Client will provide access to production data environment by end of Week 2</t>
  </si>
  <si>
    <t>Confirm in kickoff meeting. Raise as issue if not received by 2026-07-22.</t>
  </si>
  <si>
    <t>API schema and documentation are available and stable at project start</t>
  </si>
  <si>
    <t>Validate in Discovery. Raise as issue immediately if schema is incomplete.</t>
  </si>
  <si>
    <t>Client product owner available minimum 4 hrs/week for reviews and approvals</t>
  </si>
  <si>
    <t>Confirm availability in kickoff. Include in project charter sign-off.</t>
  </si>
  <si>
    <t>Staging environment mirrors production; no major config differences</t>
  </si>
  <si>
    <t>Conduct environment audit in Week 1. Document any deltas.</t>
  </si>
  <si>
    <t>Client responds to review and sign-off requests within 3 business days</t>
  </si>
  <si>
    <t>Include SLA in project charter. Track in weekly status report.</t>
  </si>
  <si>
    <t>ISSUES</t>
  </si>
  <si>
    <t>I1</t>
  </si>
  <si>
    <t>Issue</t>
  </si>
  <si>
    <t>[Add issues here as they arise]</t>
  </si>
  <si>
    <t>TBD</t>
  </si>
  <si>
    <t>[Add mitigation action]</t>
  </si>
  <si>
    <t>DEPENDENCIES</t>
  </si>
  <si>
    <t>D1</t>
  </si>
  <si>
    <t>Dependency</t>
  </si>
  <si>
    <t>Client data team must deliver cleaned dataset before AI model training (Week 4)</t>
  </si>
  <si>
    <t>Confirm data readiness date with client in Week 1. Monitor weekly.</t>
  </si>
  <si>
    <t>D2</t>
  </si>
  <si>
    <t>Client IT must provision staging environment before development begins (Week 2)</t>
  </si>
  <si>
    <t>Request provisioning in kickoff. Chase weekly if not received by Week 2.</t>
  </si>
  <si>
    <t>D3</t>
  </si>
  <si>
    <t>Third-party AI platform licence must be procured before model training (Week 3)</t>
  </si>
  <si>
    <t>Raise purchase request in Week 1 to avoid procurement delays.</t>
  </si>
  <si>
    <t>RACI MATRIX  ·  Responsible · Accountable · Consulted · Informed</t>
  </si>
  <si>
    <t>R = Responsible — does the work</t>
  </si>
  <si>
    <t>A = Accountable — final authority</t>
  </si>
  <si>
    <t>C = Consulted — provides input</t>
  </si>
  <si>
    <t>I = Informed — kept in the loop</t>
  </si>
  <si>
    <t>Activity</t>
  </si>
  <si>
    <t>A</t>
  </si>
  <si>
    <t>C</t>
  </si>
  <si>
    <t>I</t>
  </si>
  <si>
    <t>Requirements Gathering</t>
  </si>
  <si>
    <t>R</t>
  </si>
  <si>
    <t>Solution Architecture</t>
  </si>
  <si>
    <t>Project Plan Approval</t>
  </si>
  <si>
    <t>Data Pipeline Development</t>
  </si>
  <si>
    <t>AI Model Development</t>
  </si>
  <si>
    <t>API Development</t>
  </si>
  <si>
    <t>Code Review</t>
  </si>
  <si>
    <t>Test Plan Creation</t>
  </si>
  <si>
    <t>QA Testing Execution</t>
  </si>
  <si>
    <t>Security Audit</t>
  </si>
  <si>
    <t>UAT Facilitation</t>
  </si>
  <si>
    <t>Deployment Planning</t>
  </si>
  <si>
    <t>Go-Live Execution</t>
  </si>
  <si>
    <t>Go-Live Sign-off</t>
  </si>
  <si>
    <t>Hypercare Monitoring</t>
  </si>
  <si>
    <t>Change Request Management</t>
  </si>
  <si>
    <t>Risk Management</t>
  </si>
  <si>
    <t>Status Reporting</t>
  </si>
  <si>
    <t>Lessons Learned</t>
  </si>
  <si>
    <t>AI Bias &amp; Ethics Review</t>
  </si>
  <si>
    <t>Data Governance Compliance</t>
  </si>
  <si>
    <t>Project Closure Report</t>
  </si>
  <si>
    <t>CHANGE LOG  ·  Record all scope, schedule, and budget changes</t>
  </si>
  <si>
    <t>Every change to scope, timeline, or budget must be logged here and approved before implementation.</t>
  </si>
  <si>
    <t>CR #</t>
  </si>
  <si>
    <t>Date Raised</t>
  </si>
  <si>
    <t>Raised By</t>
  </si>
  <si>
    <t>Impact on Schedule</t>
  </si>
  <si>
    <t>Impact on Budget ($)</t>
  </si>
  <si>
    <t>Approved By</t>
  </si>
  <si>
    <t>Approval Date</t>
  </si>
  <si>
    <t>New Baseline Date</t>
  </si>
  <si>
    <t>CR-001</t>
  </si>
  <si>
    <t>Scope</t>
  </si>
  <si>
    <t>[Example] Add real-time dashboard refresh</t>
  </si>
  <si>
    <t>0 days</t>
  </si>
  <si>
    <t>$0</t>
  </si>
  <si>
    <t>Sponsor</t>
  </si>
  <si>
    <t>2026-07-10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</si>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</sst>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"/>
    <numFmt numFmtId="166" formatCode="0.0%"/>
  </numFmts>
  <fonts count="2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BDD7E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404040"/>
      <name val="Calibri"/>
      <family val="2"/>
      <scheme val="minor"/>
    </font>
    <font>
      <sz val="10"/>
      <color rgb="FF40404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2E5FA3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9"/>
      <color rgb="FF404040"/>
      <name val="Calibri"/>
      <family val="2"/>
      <scheme val="minor"/>
    </font>
    <font>
      <b/>
      <sz val="20"/>
      <color rgb="FF1F3864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9"/>
      <color rgb="FF808080"/>
      <name val="Calibri"/>
      <family val="2"/>
      <scheme val="minor"/>
    </font>
    <font>
      <i/>
      <sz val="10"/>
      <color rgb="FF808080"/>
      <name val="Calibri"/>
      <family val="2"/>
      <scheme val="minor"/>
    </font>
    <font>
      <sz val="10"/>
      <color rgb="FF00376B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375623"/>
      <name val="Calibri"/>
      <family val="2"/>
      <scheme val="minor"/>
    </font>
    <font>
      <b/>
      <sz val="10"/>
      <color rgb="FF1F3864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00376B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FC7CE"/>
        <bgColor rgb="FFFCE4D6"/>
      </patternFill>
    </fill>
    <fill>
      <patternFill patternType="solid">
        <fgColor rgb="FFD6E4F0"/>
        <bgColor rgb="FFDEEAF1"/>
      </patternFill>
    </fill>
    <fill>
      <patternFill patternType="solid">
        <fgColor rgb="FFEAF3FB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D6E4F0"/>
      </patternFill>
    </fill>
    <fill>
      <patternFill patternType="solid">
        <fgColor rgb="FF9C0006"/>
        <bgColor rgb="FF800000"/>
      </patternFill>
    </fill>
    <fill>
      <patternFill patternType="solid">
        <fgColor rgb="FF7F6000"/>
        <bgColor rgb="FF993300"/>
      </patternFill>
    </fill>
    <fill>
      <patternFill patternType="solid">
        <fgColor rgb="FF375623"/>
        <bgColor rgb="FF404040"/>
      </patternFill>
    </fill>
    <fill>
      <patternFill patternType="solid">
        <fgColor rgb="FFF2F2F2"/>
        <bgColor rgb="FFEA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13" fillId="2" borderId="0" xfId="0" applyFont="1" applyFill="1" applyAlignment="1">
      <alignment horizontal="center" vertical="center"/>
    </xf>
    <xf numFmtId="0" fontId="14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5" fillId="17" borderId="1" xfId="0" applyFont="1" applyFill="1" applyBorder="1"/>
    <xf numFmtId="0" fontId="16" fillId="9" borderId="1" xfId="0" applyFont="1" applyFill="1" applyBorder="1"/>
    <xf numFmtId="0" fontId="17" fillId="11" borderId="1" xfId="0" applyFont="1" applyFill="1" applyBorder="1"/>
    <xf numFmtId="0" fontId="17" fillId="7" borderId="1" xfId="0" applyFont="1" applyFill="1" applyBorder="1"/>
    <xf numFmtId="0" fontId="17" fillId="4" borderId="1" xfId="0" applyFont="1" applyFill="1" applyBorder="1"/>
    <xf numFmtId="0" fontId="17" fillId="12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/>
    </xf>
    <xf numFmtId="0" fontId="4" fillId="15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9" fontId="18" fillId="7" borderId="1" xfId="0" applyNumberFormat="1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6" fillId="5" borderId="1" xfId="0" applyFont="1" applyFill="1" applyBorder="1"/>
    <xf numFmtId="164" fontId="6" fillId="5" borderId="1" xfId="0" applyNumberFormat="1" applyFont="1" applyFill="1" applyBorder="1" applyAlignment="1">
      <alignment horizontal="center"/>
    </xf>
    <xf numFmtId="164" fontId="16" fillId="9" borderId="1" xfId="0" applyNumberFormat="1" applyFont="1" applyFill="1" applyBorder="1" applyAlignment="1">
      <alignment horizontal="center"/>
    </xf>
    <xf numFmtId="165" fontId="16" fillId="9" borderId="1" xfId="0" applyNumberFormat="1" applyFont="1" applyFill="1" applyBorder="1"/>
    <xf numFmtId="0" fontId="14" fillId="0" borderId="0" xfId="0" applyFont="1"/>
    <xf numFmtId="165" fontId="18" fillId="7" borderId="1" xfId="0" applyNumberFormat="1" applyFont="1" applyFill="1" applyBorder="1"/>
    <xf numFmtId="165" fontId="16" fillId="9" borderId="1" xfId="0" applyNumberFormat="1" applyFont="1" applyFill="1" applyBorder="1" applyAlignment="1">
      <alignment horizontal="right"/>
    </xf>
    <xf numFmtId="166" fontId="18" fillId="7" borderId="1" xfId="0" applyNumberFormat="1" applyFont="1" applyFill="1" applyBorder="1"/>
    <xf numFmtId="165" fontId="19" fillId="13" borderId="1" xfId="0" applyNumberFormat="1" applyFont="1" applyFill="1" applyBorder="1" applyAlignment="1">
      <alignment horizontal="right"/>
    </xf>
    <xf numFmtId="166" fontId="19" fillId="13" borderId="1" xfId="0" applyNumberFormat="1" applyFont="1" applyFill="1" applyBorder="1" applyAlignment="1">
      <alignment horizontal="center"/>
    </xf>
    <xf numFmtId="165" fontId="19" fillId="13" borderId="1" xfId="0" applyNumberFormat="1" applyFont="1" applyFill="1" applyBorder="1"/>
    <xf numFmtId="166" fontId="19" fillId="13" borderId="1" xfId="0" applyNumberFormat="1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/>
    </xf>
    <xf numFmtId="9" fontId="16" fillId="9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/>
    </xf>
    <xf numFmtId="164" fontId="7" fillId="12" borderId="1" xfId="0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AF3FB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EB9C"/>
      <rgbColor rgb="FFD6E4F0"/>
      <rgbColor rgb="FFFCE4D6"/>
      <rgbColor rgb="FFF2F2F2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76B"/>
      <rgbColor rgb="FF339966"/>
      <rgbColor rgb="FF003300"/>
      <rgbColor rgb="FF375623"/>
      <rgbColor rgb="FF993300"/>
      <rgbColor rgb="FF993366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opLeftCell="A11" zoomScaleNormal="100" workbookViewId="0">
      <selection activeCell="D4" sqref="D4"/>
    </sheetView>
  </sheetViews>
  <sheetFormatPr defaultColWidth="8.6328125" defaultRowHeight="14.5" x14ac:dyDescent="0.35"/>
  <cols>
    <col min="1" max="1" width="28" style="2" customWidth="1"/>
    <col min="2" max="2" width="40" style="2" customWidth="1"/>
    <col min="3" max="4" width="12" style="2" customWidth="1"/>
    <col min="5" max="5" width="28" style="2" customWidth="1"/>
    <col min="6" max="6" width="45" style="2" customWidth="1"/>
    <col min="7" max="7" width="14" style="2" customWidth="1"/>
    <col min="8" max="16384" width="8.6328125" style="2"/>
  </cols>
  <sheetData>
    <row r="1" spans="1:8" ht="39.75" customHeight="1" x14ac:dyDescent="0.35">
      <c r="A1" s="1" t="s">
        <v>0</v>
      </c>
      <c r="B1" s="1"/>
      <c r="C1" s="1"/>
      <c r="D1" s="1"/>
      <c r="E1" s="1"/>
      <c r="F1" s="1"/>
      <c r="G1" s="1"/>
      <c r="H1" s="1"/>
    </row>
    <row r="2" spans="1:8" ht="21.75" customHeight="1" x14ac:dyDescent="0.35">
      <c r="A2" s="3" t="s">
        <v>1</v>
      </c>
      <c r="B2" s="3"/>
      <c r="C2" s="3"/>
      <c r="D2" s="3"/>
      <c r="E2" s="3"/>
      <c r="F2" s="3"/>
      <c r="G2" s="3"/>
      <c r="H2" s="3"/>
    </row>
    <row r="4" spans="1:8" ht="21.75" customHeight="1" x14ac:dyDescent="0.35">
      <c r="A4" s="4" t="s">
        <v>2</v>
      </c>
      <c r="B4" s="4"/>
      <c r="C4" s="4"/>
      <c r="E4" s="4" t="s">
        <v>3</v>
      </c>
      <c r="F4" s="4"/>
      <c r="G4" s="4"/>
    </row>
    <row r="5" spans="1:8" ht="19.5" customHeight="1" x14ac:dyDescent="0.35">
      <c r="A5" s="5" t="s">
        <v>4</v>
      </c>
      <c r="B5" s="6" t="s">
        <v>5</v>
      </c>
      <c r="C5" s="6"/>
      <c r="E5" s="5" t="s">
        <v>6</v>
      </c>
      <c r="F5" s="7" t="s">
        <v>7</v>
      </c>
      <c r="G5" s="7"/>
    </row>
    <row r="6" spans="1:8" ht="19.5" customHeight="1" x14ac:dyDescent="0.35">
      <c r="A6" s="5" t="s">
        <v>8</v>
      </c>
      <c r="B6" s="6" t="s">
        <v>9</v>
      </c>
      <c r="C6" s="6"/>
      <c r="E6" s="5" t="s">
        <v>10</v>
      </c>
      <c r="F6" s="8" t="s">
        <v>11</v>
      </c>
      <c r="G6" s="8"/>
    </row>
    <row r="7" spans="1:8" ht="19.5" customHeight="1" x14ac:dyDescent="0.35">
      <c r="A7" s="5" t="s">
        <v>12</v>
      </c>
      <c r="B7" s="6" t="s">
        <v>13</v>
      </c>
      <c r="C7" s="6"/>
      <c r="E7" s="5" t="s">
        <v>14</v>
      </c>
      <c r="F7" s="9" t="s">
        <v>15</v>
      </c>
      <c r="G7" s="9"/>
    </row>
    <row r="8" spans="1:8" ht="19.5" customHeight="1" x14ac:dyDescent="0.35">
      <c r="A8" s="5" t="s">
        <v>16</v>
      </c>
      <c r="B8" s="6" t="s">
        <v>17</v>
      </c>
      <c r="C8" s="6"/>
      <c r="E8" s="5" t="s">
        <v>18</v>
      </c>
      <c r="F8" s="8" t="s">
        <v>19</v>
      </c>
      <c r="G8" s="8"/>
    </row>
    <row r="9" spans="1:8" ht="19.5" customHeight="1" x14ac:dyDescent="0.35">
      <c r="A9" s="5" t="s">
        <v>20</v>
      </c>
      <c r="B9" s="6" t="s">
        <v>21</v>
      </c>
      <c r="C9" s="6"/>
      <c r="E9" s="5" t="s">
        <v>22</v>
      </c>
      <c r="F9" s="10" t="s">
        <v>23</v>
      </c>
      <c r="G9" s="10"/>
    </row>
    <row r="10" spans="1:8" ht="18" customHeight="1" x14ac:dyDescent="0.35">
      <c r="A10" s="5" t="s">
        <v>24</v>
      </c>
      <c r="B10" s="11">
        <v>46211</v>
      </c>
      <c r="C10" s="11"/>
    </row>
    <row r="11" spans="1:8" ht="18" customHeight="1" x14ac:dyDescent="0.35">
      <c r="A11" s="5" t="s">
        <v>25</v>
      </c>
      <c r="B11" s="11">
        <v>46323</v>
      </c>
      <c r="C11" s="11"/>
    </row>
    <row r="12" spans="1:8" ht="18" customHeight="1" x14ac:dyDescent="0.35">
      <c r="A12" s="5" t="s">
        <v>26</v>
      </c>
      <c r="B12" s="6" t="s">
        <v>27</v>
      </c>
      <c r="C12" s="6"/>
    </row>
    <row r="13" spans="1:8" ht="18" customHeight="1" x14ac:dyDescent="0.35">
      <c r="A13" s="5" t="s">
        <v>28</v>
      </c>
      <c r="B13" s="6">
        <v>5</v>
      </c>
      <c r="C13" s="6"/>
    </row>
    <row r="14" spans="1:8" ht="18" customHeight="1" x14ac:dyDescent="0.35">
      <c r="A14" s="5" t="s">
        <v>29</v>
      </c>
      <c r="B14" s="6"/>
      <c r="C14" s="6"/>
    </row>
    <row r="15" spans="1:8" ht="18" customHeight="1" x14ac:dyDescent="0.35">
      <c r="A15" s="5" t="s">
        <v>30</v>
      </c>
      <c r="B15" s="11">
        <v>46222</v>
      </c>
      <c r="C15" s="11"/>
    </row>
    <row r="17" spans="1:7" ht="21.75" customHeight="1" x14ac:dyDescent="0.35">
      <c r="A17" s="4" t="s">
        <v>31</v>
      </c>
      <c r="B17" s="4"/>
      <c r="C17" s="4"/>
      <c r="D17" s="4"/>
      <c r="E17" s="4"/>
      <c r="F17" s="4"/>
      <c r="G17" s="4"/>
    </row>
    <row r="18" spans="1:7" ht="18" customHeight="1" x14ac:dyDescent="0.35">
      <c r="A18" s="12" t="s">
        <v>32</v>
      </c>
      <c r="B18" s="6" t="s">
        <v>33</v>
      </c>
      <c r="C18" s="6"/>
      <c r="D18" s="6"/>
      <c r="E18" s="6"/>
      <c r="F18" s="6"/>
      <c r="G18" s="6"/>
    </row>
    <row r="19" spans="1:7" ht="18" customHeight="1" x14ac:dyDescent="0.35">
      <c r="A19" s="12" t="s">
        <v>34</v>
      </c>
      <c r="B19" s="6" t="s">
        <v>35</v>
      </c>
      <c r="C19" s="6"/>
      <c r="D19" s="6"/>
      <c r="E19" s="6"/>
      <c r="F19" s="6"/>
      <c r="G19" s="6"/>
    </row>
    <row r="20" spans="1:7" ht="18" customHeight="1" x14ac:dyDescent="0.35">
      <c r="A20" s="12" t="s">
        <v>36</v>
      </c>
      <c r="B20" s="6" t="s">
        <v>37</v>
      </c>
      <c r="C20" s="6"/>
      <c r="D20" s="6"/>
      <c r="E20" s="6"/>
      <c r="F20" s="6"/>
      <c r="G20" s="6"/>
    </row>
    <row r="21" spans="1:7" ht="18" customHeight="1" x14ac:dyDescent="0.35">
      <c r="A21" s="12" t="s">
        <v>38</v>
      </c>
      <c r="B21" s="6" t="s">
        <v>39</v>
      </c>
      <c r="C21" s="6"/>
      <c r="D21" s="6"/>
      <c r="E21" s="6"/>
      <c r="F21" s="6"/>
      <c r="G21" s="6"/>
    </row>
    <row r="22" spans="1:7" ht="18" customHeight="1" x14ac:dyDescent="0.35">
      <c r="A22" s="12" t="s">
        <v>40</v>
      </c>
      <c r="B22" s="6" t="s">
        <v>41</v>
      </c>
      <c r="C22" s="6"/>
      <c r="D22" s="6"/>
      <c r="E22" s="6"/>
      <c r="F22" s="6"/>
      <c r="G22" s="6"/>
    </row>
    <row r="23" spans="1:7" ht="18" customHeight="1" x14ac:dyDescent="0.35">
      <c r="A23" s="12" t="s">
        <v>42</v>
      </c>
      <c r="B23" s="6" t="s">
        <v>43</v>
      </c>
      <c r="C23" s="6"/>
      <c r="D23" s="6"/>
      <c r="E23" s="6"/>
      <c r="F23" s="6"/>
      <c r="G23" s="6"/>
    </row>
    <row r="24" spans="1:7" ht="18" customHeight="1" x14ac:dyDescent="0.35">
      <c r="A24" s="12" t="s">
        <v>44</v>
      </c>
      <c r="B24" s="6" t="s">
        <v>45</v>
      </c>
      <c r="C24" s="6"/>
      <c r="D24" s="6"/>
      <c r="E24" s="6"/>
      <c r="F24" s="6"/>
      <c r="G24" s="6"/>
    </row>
    <row r="25" spans="1:7" ht="18" customHeight="1" x14ac:dyDescent="0.35">
      <c r="A25" s="12" t="s">
        <v>46</v>
      </c>
      <c r="B25" s="6" t="s">
        <v>47</v>
      </c>
      <c r="C25" s="6"/>
      <c r="D25" s="6"/>
      <c r="E25" s="6"/>
      <c r="F25" s="6"/>
      <c r="G25" s="6"/>
    </row>
    <row r="26" spans="1:7" ht="18" customHeight="1" x14ac:dyDescent="0.35">
      <c r="A26" s="12" t="s">
        <v>48</v>
      </c>
      <c r="B26" s="6" t="s">
        <v>49</v>
      </c>
      <c r="C26" s="6"/>
      <c r="D26" s="6"/>
      <c r="E26" s="6"/>
      <c r="F26" s="6"/>
      <c r="G26" s="6"/>
    </row>
    <row r="27" spans="1:7" ht="18" customHeight="1" x14ac:dyDescent="0.35">
      <c r="A27" s="12" t="s">
        <v>50</v>
      </c>
      <c r="B27" s="6" t="s">
        <v>51</v>
      </c>
      <c r="C27" s="6"/>
      <c r="D27" s="6"/>
      <c r="E27" s="6"/>
      <c r="F27" s="6"/>
      <c r="G27" s="6"/>
    </row>
  </sheetData>
  <mergeCells count="31">
    <mergeCell ref="B24:G24"/>
    <mergeCell ref="B25:G25"/>
    <mergeCell ref="B26:G26"/>
    <mergeCell ref="B27:G27"/>
    <mergeCell ref="B19:G19"/>
    <mergeCell ref="B20:G20"/>
    <mergeCell ref="B21:G21"/>
    <mergeCell ref="B22:G22"/>
    <mergeCell ref="B23:G23"/>
    <mergeCell ref="B13:C13"/>
    <mergeCell ref="B14:C14"/>
    <mergeCell ref="B15:C15"/>
    <mergeCell ref="A17:G17"/>
    <mergeCell ref="B18:G18"/>
    <mergeCell ref="B9:C9"/>
    <mergeCell ref="F9:G9"/>
    <mergeCell ref="B10:C10"/>
    <mergeCell ref="B11:C11"/>
    <mergeCell ref="B12:C12"/>
    <mergeCell ref="B6:C6"/>
    <mergeCell ref="F6:G6"/>
    <mergeCell ref="B7:C7"/>
    <mergeCell ref="F7:G7"/>
    <mergeCell ref="B8:C8"/>
    <mergeCell ref="F8:G8"/>
    <mergeCell ref="A1:H1"/>
    <mergeCell ref="A2:H2"/>
    <mergeCell ref="A4:C4"/>
    <mergeCell ref="E4:G4"/>
    <mergeCell ref="B5:C5"/>
    <mergeCell ref="F5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showGridLines="0" zoomScaleNormal="100" workbookViewId="0">
      <pane ySplit="8" topLeftCell="A9" activePane="bottomLeft" state="frozen"/>
      <selection pane="bottomLeft" sqref="A1:XFD1048576"/>
    </sheetView>
  </sheetViews>
  <sheetFormatPr defaultColWidth="8.6328125" defaultRowHeight="14.5" x14ac:dyDescent="0.35"/>
  <cols>
    <col min="1" max="1" width="11" style="2" bestFit="1" customWidth="1"/>
    <col min="2" max="2" width="9.54296875" style="2" bestFit="1" customWidth="1"/>
    <col min="3" max="3" width="46.90625" style="2" bestFit="1" customWidth="1"/>
    <col min="4" max="4" width="9.90625" style="2" bestFit="1" customWidth="1"/>
    <col min="5" max="5" width="8.1796875" style="2" bestFit="1" customWidth="1"/>
    <col min="6" max="6" width="8.36328125" style="2" bestFit="1" customWidth="1"/>
    <col min="7" max="7" width="10" style="2" bestFit="1" customWidth="1"/>
    <col min="8" max="8" width="99.26953125" style="2" bestFit="1" customWidth="1"/>
    <col min="9" max="10" width="14" style="2" customWidth="1"/>
    <col min="11" max="16384" width="8.6328125" style="2"/>
  </cols>
  <sheetData>
    <row r="1" spans="1:10" ht="18.5" x14ac:dyDescent="0.35">
      <c r="A1" s="13" t="s">
        <v>52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35">
      <c r="A3" s="4" t="s">
        <v>53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35">
      <c r="A4" s="14" t="s">
        <v>54</v>
      </c>
      <c r="B4" s="14"/>
      <c r="C4" s="14" t="s">
        <v>55</v>
      </c>
      <c r="D4" s="14"/>
      <c r="E4" s="14" t="s">
        <v>56</v>
      </c>
      <c r="F4" s="14"/>
      <c r="G4" s="14" t="s">
        <v>57</v>
      </c>
      <c r="H4" s="14"/>
      <c r="I4" s="14" t="s">
        <v>58</v>
      </c>
      <c r="J4" s="14"/>
    </row>
    <row r="5" spans="1:10" ht="26" x14ac:dyDescent="0.35">
      <c r="A5" s="15">
        <f>IFERROR(COUNTIF(Detailed_Task_Plan!K4:K200,"Done")/COUNTIF(Detailed_Task_Plan!K4:K200,"&lt;&gt;"),0)</f>
        <v>0</v>
      </c>
      <c r="B5" s="15"/>
      <c r="C5" s="15">
        <f>IFERROR(Budget_Tracker!G14/Budget_Tracker!E14,0)</f>
        <v>0</v>
      </c>
      <c r="D5" s="15"/>
      <c r="E5" s="15">
        <f>COUNTIF(Milestone_Tracker!F4:F20,"Complete")</f>
        <v>0</v>
      </c>
      <c r="F5" s="15"/>
      <c r="G5" s="15">
        <f>COUNTIF(RAID_Register!H4:H50,"Open")</f>
        <v>0</v>
      </c>
      <c r="H5" s="15"/>
      <c r="I5" s="15">
        <f>COUNTIF(RAID_Register!H54:H100,"Open")</f>
        <v>0</v>
      </c>
      <c r="J5" s="15"/>
    </row>
    <row r="7" spans="1:10" x14ac:dyDescent="0.35">
      <c r="A7" s="4" t="s">
        <v>59</v>
      </c>
      <c r="B7" s="4"/>
      <c r="C7" s="4"/>
      <c r="D7" s="4"/>
      <c r="E7" s="4"/>
      <c r="F7" s="4"/>
      <c r="G7" s="4"/>
      <c r="H7" s="4"/>
      <c r="I7" s="4"/>
      <c r="J7" s="4"/>
    </row>
    <row r="8" spans="1:10" x14ac:dyDescent="0.35">
      <c r="A8" s="16" t="s">
        <v>60</v>
      </c>
      <c r="B8" s="16" t="s">
        <v>61</v>
      </c>
      <c r="C8" s="16" t="s">
        <v>62</v>
      </c>
      <c r="D8" s="16" t="s">
        <v>26</v>
      </c>
      <c r="E8" s="16" t="s">
        <v>63</v>
      </c>
      <c r="F8" s="16" t="s">
        <v>64</v>
      </c>
      <c r="G8" s="16" t="s">
        <v>65</v>
      </c>
      <c r="H8" s="16" t="s">
        <v>66</v>
      </c>
    </row>
    <row r="9" spans="1:10" x14ac:dyDescent="0.35">
      <c r="A9" s="17" t="s">
        <v>67</v>
      </c>
      <c r="B9" s="17" t="s">
        <v>68</v>
      </c>
      <c r="C9" s="17" t="s">
        <v>69</v>
      </c>
      <c r="D9" s="17" t="s">
        <v>70</v>
      </c>
      <c r="E9" s="17" t="s">
        <v>29</v>
      </c>
      <c r="F9" s="18" t="s">
        <v>71</v>
      </c>
      <c r="G9" s="19" t="s">
        <v>72</v>
      </c>
      <c r="H9" s="18" t="s">
        <v>73</v>
      </c>
    </row>
    <row r="10" spans="1:10" x14ac:dyDescent="0.35">
      <c r="A10" s="17" t="s">
        <v>74</v>
      </c>
      <c r="B10" s="17" t="s">
        <v>69</v>
      </c>
      <c r="C10" s="17" t="s">
        <v>75</v>
      </c>
      <c r="D10" s="17" t="s">
        <v>76</v>
      </c>
      <c r="E10" s="17" t="s">
        <v>77</v>
      </c>
      <c r="F10" s="18" t="s">
        <v>71</v>
      </c>
      <c r="G10" s="19" t="s">
        <v>72</v>
      </c>
      <c r="H10" s="18" t="s">
        <v>73</v>
      </c>
    </row>
    <row r="11" spans="1:10" x14ac:dyDescent="0.35">
      <c r="A11" s="17" t="s">
        <v>78</v>
      </c>
      <c r="B11" s="17" t="s">
        <v>75</v>
      </c>
      <c r="C11" s="17" t="s">
        <v>79</v>
      </c>
      <c r="D11" s="17" t="s">
        <v>76</v>
      </c>
      <c r="E11" s="17" t="s">
        <v>80</v>
      </c>
      <c r="F11" s="18" t="s">
        <v>71</v>
      </c>
      <c r="G11" s="19" t="s">
        <v>72</v>
      </c>
      <c r="H11" s="18" t="s">
        <v>73</v>
      </c>
    </row>
    <row r="12" spans="1:10" x14ac:dyDescent="0.35">
      <c r="A12" s="17" t="s">
        <v>81</v>
      </c>
      <c r="B12" s="17" t="s">
        <v>79</v>
      </c>
      <c r="C12" s="17" t="s">
        <v>82</v>
      </c>
      <c r="D12" s="17" t="s">
        <v>83</v>
      </c>
      <c r="E12" s="17" t="s">
        <v>84</v>
      </c>
      <c r="F12" s="18" t="s">
        <v>71</v>
      </c>
      <c r="G12" s="19" t="s">
        <v>72</v>
      </c>
      <c r="H12" s="18" t="s">
        <v>73</v>
      </c>
    </row>
    <row r="13" spans="1:10" x14ac:dyDescent="0.35">
      <c r="A13" s="17" t="s">
        <v>85</v>
      </c>
      <c r="B13" s="17" t="s">
        <v>82</v>
      </c>
      <c r="C13" s="17" t="s">
        <v>86</v>
      </c>
      <c r="D13" s="17" t="s">
        <v>76</v>
      </c>
      <c r="E13" s="17" t="s">
        <v>87</v>
      </c>
      <c r="F13" s="18" t="s">
        <v>71</v>
      </c>
      <c r="G13" s="19" t="s">
        <v>72</v>
      </c>
      <c r="H13" s="18" t="s">
        <v>73</v>
      </c>
    </row>
    <row r="14" spans="1:10" x14ac:dyDescent="0.35">
      <c r="A14" s="17" t="s">
        <v>88</v>
      </c>
      <c r="B14" s="17" t="s">
        <v>86</v>
      </c>
      <c r="C14" s="17" t="s">
        <v>89</v>
      </c>
      <c r="D14" s="17" t="s">
        <v>70</v>
      </c>
      <c r="E14" s="17" t="s">
        <v>90</v>
      </c>
      <c r="F14" s="18" t="s">
        <v>71</v>
      </c>
      <c r="G14" s="19" t="s">
        <v>72</v>
      </c>
      <c r="H14" s="18" t="s">
        <v>73</v>
      </c>
    </row>
    <row r="15" spans="1:10" x14ac:dyDescent="0.35">
      <c r="A15" s="17" t="s">
        <v>91</v>
      </c>
      <c r="B15" s="17" t="s">
        <v>89</v>
      </c>
      <c r="C15" s="17" t="s">
        <v>92</v>
      </c>
      <c r="D15" s="17" t="s">
        <v>70</v>
      </c>
      <c r="E15" s="17" t="s">
        <v>93</v>
      </c>
      <c r="F15" s="18" t="s">
        <v>71</v>
      </c>
      <c r="G15" s="19" t="s">
        <v>72</v>
      </c>
      <c r="H15" s="18" t="s">
        <v>73</v>
      </c>
    </row>
    <row r="16" spans="1:10" x14ac:dyDescent="0.35">
      <c r="A16" s="17" t="s">
        <v>94</v>
      </c>
      <c r="B16" s="17" t="s">
        <v>92</v>
      </c>
      <c r="C16" s="17" t="s">
        <v>95</v>
      </c>
      <c r="D16" s="17" t="s">
        <v>76</v>
      </c>
      <c r="E16" s="17" t="s">
        <v>29</v>
      </c>
      <c r="F16" s="18" t="s">
        <v>71</v>
      </c>
      <c r="G16" s="19" t="s">
        <v>72</v>
      </c>
      <c r="H16" s="18" t="s">
        <v>73</v>
      </c>
    </row>
    <row r="18" spans="1:10" x14ac:dyDescent="0.35">
      <c r="A18" s="4" t="s">
        <v>96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35">
      <c r="A19" s="16" t="s">
        <v>97</v>
      </c>
      <c r="B19" s="16" t="s">
        <v>98</v>
      </c>
      <c r="C19" s="16" t="s">
        <v>99</v>
      </c>
      <c r="D19" s="16" t="s">
        <v>100</v>
      </c>
      <c r="E19" s="16" t="s">
        <v>101</v>
      </c>
      <c r="F19" s="16" t="s">
        <v>63</v>
      </c>
      <c r="G19" s="16" t="s">
        <v>102</v>
      </c>
      <c r="H19" s="16" t="s">
        <v>64</v>
      </c>
    </row>
    <row r="20" spans="1:10" x14ac:dyDescent="0.35">
      <c r="A20" s="20" t="str">
        <f>RAID_Register!A4</f>
        <v>ID</v>
      </c>
      <c r="B20" s="20" t="str">
        <f>RAID_Register!B4</f>
        <v>Type</v>
      </c>
      <c r="C20" s="20" t="str">
        <f>RAID_Register!C4</f>
        <v>Description</v>
      </c>
      <c r="D20" s="20" t="str">
        <f>RAID_Register!D4</f>
        <v>Impact (1-5)</v>
      </c>
      <c r="E20" s="20" t="str">
        <f>IFERROR(RAID_Register!C4*RAID_Register!D4,"")</f>
        <v/>
      </c>
      <c r="F20" s="20" t="str">
        <f>RAID_Register!F4</f>
        <v>Risk Score</v>
      </c>
      <c r="G20" s="20" t="str">
        <f>RAID_Register!G4</f>
        <v>Owner</v>
      </c>
      <c r="H20" s="20" t="str">
        <f>RAID_Register!H4</f>
        <v>Mitigation / Action</v>
      </c>
    </row>
    <row r="21" spans="1:10" x14ac:dyDescent="0.35">
      <c r="A21" s="20" t="str">
        <f>RAID_Register!A5</f>
        <v>R1</v>
      </c>
      <c r="B21" s="20" t="str">
        <f>RAID_Register!B5</f>
        <v>Risk</v>
      </c>
      <c r="C21" s="20" t="str">
        <f>RAID_Register!C5</f>
        <v>Requirement scope creep — client adds features mid-sprint</v>
      </c>
      <c r="D21" s="20">
        <f>RAID_Register!D5</f>
        <v>4</v>
      </c>
      <c r="E21" s="20" t="str">
        <f>IFERROR(RAID_Register!C5*RAID_Register!D5,"")</f>
        <v/>
      </c>
      <c r="F21" s="20">
        <f>RAID_Register!F5</f>
        <v>12</v>
      </c>
      <c r="G21" s="20" t="str">
        <f>RAID_Register!G5</f>
        <v>PM</v>
      </c>
      <c r="H21" s="20" t="str">
        <f>RAID_Register!H5</f>
        <v>Conduct detailed requirements workshops; freeze scope after sign-off (Week 2). All changes go through formal change request.</v>
      </c>
    </row>
    <row r="22" spans="1:10" x14ac:dyDescent="0.35">
      <c r="A22" s="20" t="str">
        <f>RAID_Register!A6</f>
        <v>R2</v>
      </c>
      <c r="B22" s="20" t="str">
        <f>RAID_Register!B6</f>
        <v>Risk</v>
      </c>
      <c r="C22" s="20" t="str">
        <f>RAID_Register!C6</f>
        <v>Integration failures with existing retail data systems</v>
      </c>
      <c r="D22" s="20">
        <f>RAID_Register!D6</f>
        <v>4</v>
      </c>
      <c r="E22" s="20" t="str">
        <f>IFERROR(RAID_Register!C6*RAID_Register!D6,"")</f>
        <v/>
      </c>
      <c r="F22" s="20">
        <f>RAID_Register!F6</f>
        <v>12</v>
      </c>
      <c r="G22" s="20" t="str">
        <f>RAID_Register!G6</f>
        <v>Tech Lead</v>
      </c>
      <c r="H22" s="20" t="str">
        <f>RAID_Register!H6</f>
        <v>Define API contracts in Week 3. Run integration smoke tests in each sprint. Maintain a fallback data-sync approach.</v>
      </c>
    </row>
    <row r="23" spans="1:10" x14ac:dyDescent="0.35">
      <c r="A23" s="20" t="str">
        <f>RAID_Register!A7</f>
        <v>R3</v>
      </c>
      <c r="B23" s="20" t="str">
        <f>RAID_Register!B7</f>
        <v>Risk</v>
      </c>
      <c r="C23" s="20" t="str">
        <f>RAID_Register!C7</f>
        <v>AI model performance below 85% accuracy threshold</v>
      </c>
      <c r="D23" s="20">
        <f>RAID_Register!D7</f>
        <v>5</v>
      </c>
      <c r="E23" s="20" t="str">
        <f>IFERROR(RAID_Register!C7*RAID_Register!D7,"")</f>
        <v/>
      </c>
      <c r="F23" s="20">
        <f>RAID_Register!F7</f>
        <v>10</v>
      </c>
      <c r="G23" s="20" t="str">
        <f>RAID_Register!G7</f>
        <v>Dev Lead</v>
      </c>
      <c r="H23" s="20" t="str">
        <f>RAID_Register!H7</f>
        <v>Run baseline model benchmarks in Discovery. Allocate 1 extra sprint buffer for model tuning if needed.</v>
      </c>
    </row>
    <row r="24" spans="1:10" x14ac:dyDescent="0.35">
      <c r="A24" s="20" t="str">
        <f>RAID_Register!A8</f>
        <v>R4</v>
      </c>
      <c r="B24" s="20" t="str">
        <f>RAID_Register!B8</f>
        <v>Risk</v>
      </c>
      <c r="C24" s="20" t="str">
        <f>RAID_Register!C8</f>
        <v>Security vulnerabilities in AI API endpoints</v>
      </c>
      <c r="D24" s="20">
        <f>RAID_Register!D8</f>
        <v>5</v>
      </c>
      <c r="E24" s="20" t="str">
        <f>IFERROR(RAID_Register!C8*RAID_Register!D8,"")</f>
        <v/>
      </c>
      <c r="F24" s="20">
        <f>RAID_Register!F8</f>
        <v>10</v>
      </c>
      <c r="G24" s="20" t="str">
        <f>RAID_Register!G8</f>
        <v>DevOps</v>
      </c>
      <c r="H24" s="20" t="str">
        <f>RAID_Register!H8</f>
        <v>Include security audit in testing phase (Week 11). Follow OWASP API security checklist. Penetration test before UAT.</v>
      </c>
    </row>
    <row r="25" spans="1:10" x14ac:dyDescent="0.35">
      <c r="A25" s="20" t="str">
        <f>RAID_Register!A9</f>
        <v>R5</v>
      </c>
      <c r="B25" s="20" t="str">
        <f>RAID_Register!B9</f>
        <v>Risk</v>
      </c>
      <c r="C25" s="20" t="str">
        <f>RAID_Register!C9</f>
        <v>Client data delivery delays blocking development</v>
      </c>
      <c r="D25" s="20">
        <f>RAID_Register!D9</f>
        <v>4</v>
      </c>
      <c r="E25" s="20" t="str">
        <f>IFERROR(RAID_Register!C9*RAID_Register!D9,"")</f>
        <v/>
      </c>
      <c r="F25" s="20">
        <f>RAID_Register!F9</f>
        <v>12</v>
      </c>
      <c r="G25" s="20" t="str">
        <f>RAID_Register!G9</f>
        <v>PM</v>
      </c>
      <c r="H25" s="20" t="str">
        <f>RAID_Register!H9</f>
        <v>Formally request data assets in Week 1. Escalate to sponsor if not received by Week 3.</v>
      </c>
    </row>
  </sheetData>
  <mergeCells count="14">
    <mergeCell ref="A7:J7"/>
    <mergeCell ref="A18:J18"/>
    <mergeCell ref="A5:B5"/>
    <mergeCell ref="C5:D5"/>
    <mergeCell ref="E5:F5"/>
    <mergeCell ref="G5:H5"/>
    <mergeCell ref="I5:J5"/>
    <mergeCell ref="A1:J1"/>
    <mergeCell ref="A3:J3"/>
    <mergeCell ref="A4:B4"/>
    <mergeCell ref="C4:D4"/>
    <mergeCell ref="E4:F4"/>
    <mergeCell ref="G4:H4"/>
    <mergeCell ref="I4:J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7"/>
  <sheetViews>
    <sheetView showGridLines="0" zoomScaleNormal="100" workbookViewId="0">
      <pane ySplit="3" topLeftCell="A4" activePane="bottomLeft" state="frozen"/>
      <selection pane="bottomLeft" sqref="A1:XFD1048576"/>
    </sheetView>
  </sheetViews>
  <sheetFormatPr defaultColWidth="8.6328125" defaultRowHeight="14.5" x14ac:dyDescent="0.35"/>
  <cols>
    <col min="1" max="1" width="4.26953125" style="2" bestFit="1" customWidth="1"/>
    <col min="2" max="2" width="11.08984375" style="2" bestFit="1" customWidth="1"/>
    <col min="3" max="3" width="24.36328125" style="2" bestFit="1" customWidth="1"/>
    <col min="4" max="4" width="8.54296875" style="2" bestFit="1" customWidth="1"/>
    <col min="5" max="5" width="10" style="2" bestFit="1" customWidth="1"/>
    <col min="6" max="6" width="11.1796875" style="2" bestFit="1" customWidth="1"/>
    <col min="7" max="7" width="10.453125" style="2" bestFit="1" customWidth="1"/>
    <col min="8" max="8" width="9.7265625" style="2" bestFit="1" customWidth="1"/>
    <col min="9" max="9" width="9" style="2" bestFit="1" customWidth="1"/>
    <col min="10" max="10" width="11.1796875" style="2" bestFit="1" customWidth="1"/>
    <col min="11" max="11" width="9.7265625" style="2" bestFit="1" customWidth="1"/>
    <col min="12" max="12" width="10" style="2" bestFit="1" customWidth="1"/>
    <col min="13" max="13" width="9.6328125" style="2" bestFit="1" customWidth="1"/>
    <col min="14" max="14" width="9" style="2" bestFit="1" customWidth="1"/>
    <col min="15" max="16384" width="8.6328125" style="2"/>
  </cols>
  <sheetData>
    <row r="1" spans="1:14" ht="17" x14ac:dyDescent="0.35">
      <c r="A1" s="21" t="s">
        <v>109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x14ac:dyDescent="0.35">
      <c r="A2" s="22" t="s">
        <v>110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x14ac:dyDescent="0.35">
      <c r="A3" s="16" t="s">
        <v>111</v>
      </c>
      <c r="B3" s="16" t="s">
        <v>60</v>
      </c>
      <c r="C3" s="16" t="s">
        <v>112</v>
      </c>
      <c r="D3" s="16" t="s">
        <v>63</v>
      </c>
      <c r="E3" s="16" t="s">
        <v>113</v>
      </c>
      <c r="F3" s="16" t="s">
        <v>114</v>
      </c>
      <c r="G3" s="16" t="s">
        <v>115</v>
      </c>
      <c r="H3" s="16" t="s">
        <v>116</v>
      </c>
      <c r="I3" s="16" t="s">
        <v>117</v>
      </c>
      <c r="J3" s="16" t="s">
        <v>118</v>
      </c>
      <c r="K3" s="16" t="s">
        <v>119</v>
      </c>
      <c r="L3" s="16" t="s">
        <v>65</v>
      </c>
      <c r="M3" s="16" t="s">
        <v>64</v>
      </c>
      <c r="N3" s="16" t="s">
        <v>120</v>
      </c>
    </row>
    <row r="4" spans="1:14" x14ac:dyDescent="0.35">
      <c r="A4" s="59" t="s">
        <v>121</v>
      </c>
      <c r="B4" s="60" t="s">
        <v>67</v>
      </c>
      <c r="C4" s="60" t="s">
        <v>122</v>
      </c>
      <c r="D4" s="61" t="s">
        <v>29</v>
      </c>
      <c r="E4" s="61"/>
      <c r="F4" s="62" t="s">
        <v>68</v>
      </c>
      <c r="G4" s="62" t="s">
        <v>69</v>
      </c>
      <c r="H4" s="25"/>
      <c r="I4" s="25"/>
      <c r="J4" s="46">
        <f t="shared" ref="J4:J37" si="0">IFERROR(DATEDIF(F4,G4,"D"),"")</f>
        <v>7</v>
      </c>
      <c r="K4" s="46">
        <f t="shared" ref="K4:K37" si="1">IFERROR(DATEDIF(H4,I4,"D"),"")</f>
        <v>0</v>
      </c>
      <c r="L4" s="63" t="s">
        <v>72</v>
      </c>
      <c r="M4" s="25" t="s">
        <v>123</v>
      </c>
      <c r="N4" s="25"/>
    </row>
    <row r="5" spans="1:14" x14ac:dyDescent="0.35">
      <c r="A5" s="61" t="s">
        <v>124</v>
      </c>
      <c r="B5" s="64" t="s">
        <v>67</v>
      </c>
      <c r="C5" s="64" t="s">
        <v>125</v>
      </c>
      <c r="D5" s="61" t="s">
        <v>29</v>
      </c>
      <c r="E5" s="61" t="s">
        <v>121</v>
      </c>
      <c r="F5" s="62" t="s">
        <v>68</v>
      </c>
      <c r="G5" s="62" t="s">
        <v>126</v>
      </c>
      <c r="H5" s="25"/>
      <c r="I5" s="25"/>
      <c r="J5" s="46">
        <f t="shared" si="0"/>
        <v>4</v>
      </c>
      <c r="K5" s="46">
        <f t="shared" si="1"/>
        <v>0</v>
      </c>
      <c r="L5" s="63" t="s">
        <v>72</v>
      </c>
      <c r="M5" s="25" t="s">
        <v>123</v>
      </c>
      <c r="N5" s="25"/>
    </row>
    <row r="6" spans="1:14" x14ac:dyDescent="0.35">
      <c r="A6" s="61" t="s">
        <v>127</v>
      </c>
      <c r="B6" s="64" t="s">
        <v>67</v>
      </c>
      <c r="C6" s="64" t="s">
        <v>128</v>
      </c>
      <c r="D6" s="61" t="s">
        <v>29</v>
      </c>
      <c r="E6" s="61" t="s">
        <v>121</v>
      </c>
      <c r="F6" s="62" t="s">
        <v>68</v>
      </c>
      <c r="G6" s="62" t="s">
        <v>69</v>
      </c>
      <c r="H6" s="25"/>
      <c r="I6" s="25"/>
      <c r="J6" s="46">
        <f t="shared" si="0"/>
        <v>7</v>
      </c>
      <c r="K6" s="46">
        <f t="shared" si="1"/>
        <v>0</v>
      </c>
      <c r="L6" s="63" t="s">
        <v>72</v>
      </c>
      <c r="M6" s="25" t="s">
        <v>123</v>
      </c>
      <c r="N6" s="25"/>
    </row>
    <row r="7" spans="1:14" x14ac:dyDescent="0.35">
      <c r="A7" s="31" t="s">
        <v>129</v>
      </c>
      <c r="B7" s="65" t="s">
        <v>74</v>
      </c>
      <c r="C7" s="65" t="s">
        <v>130</v>
      </c>
      <c r="D7" s="19" t="s">
        <v>77</v>
      </c>
      <c r="E7" s="19" t="s">
        <v>121</v>
      </c>
      <c r="F7" s="66" t="s">
        <v>69</v>
      </c>
      <c r="G7" s="66" t="s">
        <v>75</v>
      </c>
      <c r="H7" s="25"/>
      <c r="I7" s="25"/>
      <c r="J7" s="46">
        <f t="shared" si="0"/>
        <v>14</v>
      </c>
      <c r="K7" s="46">
        <f t="shared" si="1"/>
        <v>0</v>
      </c>
      <c r="L7" s="63" t="s">
        <v>72</v>
      </c>
      <c r="M7" s="25" t="s">
        <v>123</v>
      </c>
      <c r="N7" s="25"/>
    </row>
    <row r="8" spans="1:14" x14ac:dyDescent="0.35">
      <c r="A8" s="19" t="s">
        <v>131</v>
      </c>
      <c r="B8" s="67" t="s">
        <v>74</v>
      </c>
      <c r="C8" s="67" t="s">
        <v>132</v>
      </c>
      <c r="D8" s="19" t="s">
        <v>77</v>
      </c>
      <c r="E8" s="19" t="s">
        <v>124</v>
      </c>
      <c r="F8" s="66" t="s">
        <v>69</v>
      </c>
      <c r="G8" s="66" t="s">
        <v>133</v>
      </c>
      <c r="H8" s="25"/>
      <c r="I8" s="25"/>
      <c r="J8" s="46">
        <f t="shared" si="0"/>
        <v>7</v>
      </c>
      <c r="K8" s="46">
        <f t="shared" si="1"/>
        <v>0</v>
      </c>
      <c r="L8" s="63" t="s">
        <v>72</v>
      </c>
      <c r="M8" s="25" t="s">
        <v>123</v>
      </c>
      <c r="N8" s="25"/>
    </row>
    <row r="9" spans="1:14" x14ac:dyDescent="0.35">
      <c r="A9" s="19" t="s">
        <v>134</v>
      </c>
      <c r="B9" s="67" t="s">
        <v>74</v>
      </c>
      <c r="C9" s="67" t="s">
        <v>135</v>
      </c>
      <c r="D9" s="19" t="s">
        <v>77</v>
      </c>
      <c r="E9" s="19" t="s">
        <v>131</v>
      </c>
      <c r="F9" s="66" t="s">
        <v>133</v>
      </c>
      <c r="G9" s="66" t="s">
        <v>75</v>
      </c>
      <c r="H9" s="25"/>
      <c r="I9" s="25"/>
      <c r="J9" s="46">
        <f t="shared" si="0"/>
        <v>7</v>
      </c>
      <c r="K9" s="46">
        <f t="shared" si="1"/>
        <v>0</v>
      </c>
      <c r="L9" s="63" t="s">
        <v>72</v>
      </c>
      <c r="M9" s="25" t="s">
        <v>123</v>
      </c>
      <c r="N9" s="25"/>
    </row>
    <row r="10" spans="1:14" x14ac:dyDescent="0.35">
      <c r="A10" s="19" t="s">
        <v>136</v>
      </c>
      <c r="B10" s="67" t="s">
        <v>74</v>
      </c>
      <c r="C10" s="67" t="s">
        <v>137</v>
      </c>
      <c r="D10" s="19" t="s">
        <v>90</v>
      </c>
      <c r="E10" s="19" t="s">
        <v>134</v>
      </c>
      <c r="F10" s="66" t="s">
        <v>75</v>
      </c>
      <c r="G10" s="66" t="s">
        <v>75</v>
      </c>
      <c r="H10" s="25"/>
      <c r="I10" s="25"/>
      <c r="J10" s="46">
        <f t="shared" si="0"/>
        <v>0</v>
      </c>
      <c r="K10" s="46">
        <f t="shared" si="1"/>
        <v>0</v>
      </c>
      <c r="L10" s="63" t="s">
        <v>72</v>
      </c>
      <c r="M10" s="25" t="s">
        <v>123</v>
      </c>
      <c r="N10" s="25"/>
    </row>
    <row r="11" spans="1:14" x14ac:dyDescent="0.35">
      <c r="A11" s="35" t="s">
        <v>138</v>
      </c>
      <c r="B11" s="68" t="s">
        <v>78</v>
      </c>
      <c r="C11" s="68" t="s">
        <v>139</v>
      </c>
      <c r="D11" s="69" t="s">
        <v>80</v>
      </c>
      <c r="E11" s="69" t="s">
        <v>129</v>
      </c>
      <c r="F11" s="70" t="s">
        <v>75</v>
      </c>
      <c r="G11" s="70" t="s">
        <v>79</v>
      </c>
      <c r="H11" s="25"/>
      <c r="I11" s="25"/>
      <c r="J11" s="46">
        <f t="shared" si="0"/>
        <v>14</v>
      </c>
      <c r="K11" s="46">
        <f t="shared" si="1"/>
        <v>0</v>
      </c>
      <c r="L11" s="63" t="s">
        <v>72</v>
      </c>
      <c r="M11" s="25" t="s">
        <v>123</v>
      </c>
      <c r="N11" s="25"/>
    </row>
    <row r="12" spans="1:14" x14ac:dyDescent="0.35">
      <c r="A12" s="69" t="s">
        <v>140</v>
      </c>
      <c r="B12" s="71" t="s">
        <v>78</v>
      </c>
      <c r="C12" s="71" t="s">
        <v>141</v>
      </c>
      <c r="D12" s="69" t="s">
        <v>80</v>
      </c>
      <c r="E12" s="69" t="s">
        <v>134</v>
      </c>
      <c r="F12" s="70" t="s">
        <v>75</v>
      </c>
      <c r="G12" s="70" t="s">
        <v>142</v>
      </c>
      <c r="H12" s="25"/>
      <c r="I12" s="25"/>
      <c r="J12" s="46">
        <f t="shared" si="0"/>
        <v>7</v>
      </c>
      <c r="K12" s="46">
        <f t="shared" si="1"/>
        <v>0</v>
      </c>
      <c r="L12" s="63" t="s">
        <v>72</v>
      </c>
      <c r="M12" s="25" t="s">
        <v>123</v>
      </c>
      <c r="N12" s="25"/>
    </row>
    <row r="13" spans="1:14" x14ac:dyDescent="0.35">
      <c r="A13" s="69" t="s">
        <v>143</v>
      </c>
      <c r="B13" s="71" t="s">
        <v>78</v>
      </c>
      <c r="C13" s="71" t="s">
        <v>144</v>
      </c>
      <c r="D13" s="69" t="s">
        <v>80</v>
      </c>
      <c r="E13" s="69" t="s">
        <v>134</v>
      </c>
      <c r="F13" s="70" t="s">
        <v>75</v>
      </c>
      <c r="G13" s="70" t="s">
        <v>142</v>
      </c>
      <c r="H13" s="25"/>
      <c r="I13" s="25"/>
      <c r="J13" s="46">
        <f t="shared" si="0"/>
        <v>7</v>
      </c>
      <c r="K13" s="46">
        <f t="shared" si="1"/>
        <v>0</v>
      </c>
      <c r="L13" s="63" t="s">
        <v>72</v>
      </c>
      <c r="M13" s="25" t="s">
        <v>123</v>
      </c>
      <c r="N13" s="25"/>
    </row>
    <row r="14" spans="1:14" x14ac:dyDescent="0.35">
      <c r="A14" s="69" t="s">
        <v>145</v>
      </c>
      <c r="B14" s="71" t="s">
        <v>78</v>
      </c>
      <c r="C14" s="71" t="s">
        <v>146</v>
      </c>
      <c r="D14" s="69" t="s">
        <v>147</v>
      </c>
      <c r="E14" s="69" t="s">
        <v>140</v>
      </c>
      <c r="F14" s="70" t="s">
        <v>142</v>
      </c>
      <c r="G14" s="70" t="s">
        <v>79</v>
      </c>
      <c r="H14" s="25"/>
      <c r="I14" s="25"/>
      <c r="J14" s="46">
        <f t="shared" si="0"/>
        <v>7</v>
      </c>
      <c r="K14" s="46">
        <f t="shared" si="1"/>
        <v>0</v>
      </c>
      <c r="L14" s="63" t="s">
        <v>72</v>
      </c>
      <c r="M14" s="25" t="s">
        <v>123</v>
      </c>
      <c r="N14" s="25"/>
    </row>
    <row r="15" spans="1:14" x14ac:dyDescent="0.35">
      <c r="A15" s="69" t="s">
        <v>148</v>
      </c>
      <c r="B15" s="71" t="s">
        <v>78</v>
      </c>
      <c r="C15" s="71" t="s">
        <v>149</v>
      </c>
      <c r="D15" s="69" t="s">
        <v>90</v>
      </c>
      <c r="E15" s="69" t="s">
        <v>145</v>
      </c>
      <c r="F15" s="70" t="s">
        <v>79</v>
      </c>
      <c r="G15" s="70" t="s">
        <v>79</v>
      </c>
      <c r="H15" s="25"/>
      <c r="I15" s="25"/>
      <c r="J15" s="46">
        <f t="shared" si="0"/>
        <v>0</v>
      </c>
      <c r="K15" s="46">
        <f t="shared" si="1"/>
        <v>0</v>
      </c>
      <c r="L15" s="63" t="s">
        <v>72</v>
      </c>
      <c r="M15" s="25" t="s">
        <v>123</v>
      </c>
      <c r="N15" s="25"/>
    </row>
    <row r="16" spans="1:14" x14ac:dyDescent="0.35">
      <c r="A16" s="33" t="s">
        <v>150</v>
      </c>
      <c r="B16" s="72" t="s">
        <v>81</v>
      </c>
      <c r="C16" s="72" t="s">
        <v>151</v>
      </c>
      <c r="D16" s="73" t="s">
        <v>84</v>
      </c>
      <c r="E16" s="73" t="s">
        <v>138</v>
      </c>
      <c r="F16" s="74" t="s">
        <v>79</v>
      </c>
      <c r="G16" s="74" t="s">
        <v>82</v>
      </c>
      <c r="H16" s="25"/>
      <c r="I16" s="25"/>
      <c r="J16" s="46">
        <f t="shared" si="0"/>
        <v>35</v>
      </c>
      <c r="K16" s="46">
        <f t="shared" si="1"/>
        <v>0</v>
      </c>
      <c r="L16" s="63" t="s">
        <v>72</v>
      </c>
      <c r="M16" s="25" t="s">
        <v>123</v>
      </c>
      <c r="N16" s="25"/>
    </row>
    <row r="17" spans="1:14" x14ac:dyDescent="0.35">
      <c r="A17" s="73" t="s">
        <v>152</v>
      </c>
      <c r="B17" s="75" t="s">
        <v>81</v>
      </c>
      <c r="C17" s="75" t="s">
        <v>153</v>
      </c>
      <c r="D17" s="73" t="s">
        <v>154</v>
      </c>
      <c r="E17" s="73" t="s">
        <v>140</v>
      </c>
      <c r="F17" s="74" t="s">
        <v>79</v>
      </c>
      <c r="G17" s="74" t="s">
        <v>155</v>
      </c>
      <c r="H17" s="25"/>
      <c r="I17" s="25"/>
      <c r="J17" s="46">
        <f t="shared" si="0"/>
        <v>14</v>
      </c>
      <c r="K17" s="46">
        <f t="shared" si="1"/>
        <v>0</v>
      </c>
      <c r="L17" s="63" t="s">
        <v>72</v>
      </c>
      <c r="M17" s="25" t="s">
        <v>123</v>
      </c>
      <c r="N17" s="25"/>
    </row>
    <row r="18" spans="1:14" x14ac:dyDescent="0.35">
      <c r="A18" s="73" t="s">
        <v>156</v>
      </c>
      <c r="B18" s="75" t="s">
        <v>81</v>
      </c>
      <c r="C18" s="75" t="s">
        <v>157</v>
      </c>
      <c r="D18" s="73" t="s">
        <v>84</v>
      </c>
      <c r="E18" s="73" t="s">
        <v>143</v>
      </c>
      <c r="F18" s="74" t="s">
        <v>79</v>
      </c>
      <c r="G18" s="74" t="s">
        <v>158</v>
      </c>
      <c r="H18" s="25"/>
      <c r="I18" s="25"/>
      <c r="J18" s="46">
        <f t="shared" si="0"/>
        <v>21</v>
      </c>
      <c r="K18" s="46">
        <f t="shared" si="1"/>
        <v>0</v>
      </c>
      <c r="L18" s="63" t="s">
        <v>72</v>
      </c>
      <c r="M18" s="25" t="s">
        <v>123</v>
      </c>
      <c r="N18" s="25"/>
    </row>
    <row r="19" spans="1:14" x14ac:dyDescent="0.35">
      <c r="A19" s="73" t="s">
        <v>159</v>
      </c>
      <c r="B19" s="75" t="s">
        <v>81</v>
      </c>
      <c r="C19" s="75" t="s">
        <v>160</v>
      </c>
      <c r="D19" s="73" t="s">
        <v>154</v>
      </c>
      <c r="E19" s="73" t="s">
        <v>145</v>
      </c>
      <c r="F19" s="74" t="s">
        <v>155</v>
      </c>
      <c r="G19" s="74" t="s">
        <v>161</v>
      </c>
      <c r="H19" s="25"/>
      <c r="I19" s="25"/>
      <c r="J19" s="46">
        <f t="shared" si="0"/>
        <v>14</v>
      </c>
      <c r="K19" s="46">
        <f t="shared" si="1"/>
        <v>0</v>
      </c>
      <c r="L19" s="63" t="s">
        <v>72</v>
      </c>
      <c r="M19" s="25" t="s">
        <v>123</v>
      </c>
      <c r="N19" s="25"/>
    </row>
    <row r="20" spans="1:14" x14ac:dyDescent="0.35">
      <c r="A20" s="73" t="s">
        <v>162</v>
      </c>
      <c r="B20" s="75" t="s">
        <v>81</v>
      </c>
      <c r="C20" s="75" t="s">
        <v>163</v>
      </c>
      <c r="D20" s="73" t="s">
        <v>154</v>
      </c>
      <c r="E20" s="73" t="s">
        <v>159</v>
      </c>
      <c r="F20" s="74" t="s">
        <v>158</v>
      </c>
      <c r="G20" s="74" t="s">
        <v>82</v>
      </c>
      <c r="H20" s="25"/>
      <c r="I20" s="25"/>
      <c r="J20" s="46">
        <f t="shared" si="0"/>
        <v>14</v>
      </c>
      <c r="K20" s="46">
        <f t="shared" si="1"/>
        <v>0</v>
      </c>
      <c r="L20" s="63" t="s">
        <v>72</v>
      </c>
      <c r="M20" s="25" t="s">
        <v>123</v>
      </c>
      <c r="N20" s="25"/>
    </row>
    <row r="21" spans="1:14" x14ac:dyDescent="0.35">
      <c r="A21" s="73" t="s">
        <v>164</v>
      </c>
      <c r="B21" s="75" t="s">
        <v>81</v>
      </c>
      <c r="C21" s="75" t="s">
        <v>165</v>
      </c>
      <c r="D21" s="73" t="s">
        <v>147</v>
      </c>
      <c r="E21" s="73" t="s">
        <v>162</v>
      </c>
      <c r="F21" s="74" t="s">
        <v>161</v>
      </c>
      <c r="G21" s="74" t="s">
        <v>82</v>
      </c>
      <c r="H21" s="25"/>
      <c r="I21" s="25"/>
      <c r="J21" s="46">
        <f t="shared" si="0"/>
        <v>7</v>
      </c>
      <c r="K21" s="46">
        <f t="shared" si="1"/>
        <v>0</v>
      </c>
      <c r="L21" s="63" t="s">
        <v>72</v>
      </c>
      <c r="M21" s="25" t="s">
        <v>123</v>
      </c>
      <c r="N21" s="25"/>
    </row>
    <row r="22" spans="1:14" x14ac:dyDescent="0.35">
      <c r="A22" s="31" t="s">
        <v>166</v>
      </c>
      <c r="B22" s="65" t="s">
        <v>85</v>
      </c>
      <c r="C22" s="65" t="s">
        <v>167</v>
      </c>
      <c r="D22" s="19" t="s">
        <v>87</v>
      </c>
      <c r="E22" s="19" t="s">
        <v>150</v>
      </c>
      <c r="F22" s="66" t="s">
        <v>82</v>
      </c>
      <c r="G22" s="66" t="s">
        <v>86</v>
      </c>
      <c r="H22" s="25"/>
      <c r="I22" s="25"/>
      <c r="J22" s="46">
        <f t="shared" si="0"/>
        <v>14</v>
      </c>
      <c r="K22" s="46">
        <f t="shared" si="1"/>
        <v>0</v>
      </c>
      <c r="L22" s="63" t="s">
        <v>72</v>
      </c>
      <c r="M22" s="25" t="s">
        <v>123</v>
      </c>
      <c r="N22" s="25"/>
    </row>
    <row r="23" spans="1:14" x14ac:dyDescent="0.35">
      <c r="A23" s="19" t="s">
        <v>168</v>
      </c>
      <c r="B23" s="67" t="s">
        <v>85</v>
      </c>
      <c r="C23" s="67" t="s">
        <v>169</v>
      </c>
      <c r="D23" s="19" t="s">
        <v>87</v>
      </c>
      <c r="E23" s="19" t="s">
        <v>164</v>
      </c>
      <c r="F23" s="66" t="s">
        <v>82</v>
      </c>
      <c r="G23" s="66" t="s">
        <v>170</v>
      </c>
      <c r="H23" s="25"/>
      <c r="I23" s="25"/>
      <c r="J23" s="46">
        <f t="shared" si="0"/>
        <v>7</v>
      </c>
      <c r="K23" s="46">
        <f t="shared" si="1"/>
        <v>0</v>
      </c>
      <c r="L23" s="63" t="s">
        <v>72</v>
      </c>
      <c r="M23" s="25" t="s">
        <v>123</v>
      </c>
      <c r="N23" s="25"/>
    </row>
    <row r="24" spans="1:14" x14ac:dyDescent="0.35">
      <c r="A24" s="19" t="s">
        <v>171</v>
      </c>
      <c r="B24" s="67" t="s">
        <v>85</v>
      </c>
      <c r="C24" s="67" t="s">
        <v>172</v>
      </c>
      <c r="D24" s="19" t="s">
        <v>87</v>
      </c>
      <c r="E24" s="19" t="s">
        <v>168</v>
      </c>
      <c r="F24" s="66" t="s">
        <v>170</v>
      </c>
      <c r="G24" s="66" t="s">
        <v>86</v>
      </c>
      <c r="H24" s="25"/>
      <c r="I24" s="25"/>
      <c r="J24" s="46">
        <f t="shared" si="0"/>
        <v>7</v>
      </c>
      <c r="K24" s="46">
        <f t="shared" si="1"/>
        <v>0</v>
      </c>
      <c r="L24" s="63" t="s">
        <v>72</v>
      </c>
      <c r="M24" s="25" t="s">
        <v>123</v>
      </c>
      <c r="N24" s="25"/>
    </row>
    <row r="25" spans="1:14" x14ac:dyDescent="0.35">
      <c r="A25" s="19" t="s">
        <v>173</v>
      </c>
      <c r="B25" s="67" t="s">
        <v>85</v>
      </c>
      <c r="C25" s="67" t="s">
        <v>174</v>
      </c>
      <c r="D25" s="19" t="s">
        <v>93</v>
      </c>
      <c r="E25" s="19" t="s">
        <v>168</v>
      </c>
      <c r="F25" s="66" t="s">
        <v>170</v>
      </c>
      <c r="G25" s="66" t="s">
        <v>86</v>
      </c>
      <c r="H25" s="25"/>
      <c r="I25" s="25"/>
      <c r="J25" s="46">
        <f t="shared" si="0"/>
        <v>7</v>
      </c>
      <c r="K25" s="46">
        <f t="shared" si="1"/>
        <v>0</v>
      </c>
      <c r="L25" s="63" t="s">
        <v>72</v>
      </c>
      <c r="M25" s="25" t="s">
        <v>123</v>
      </c>
      <c r="N25" s="25"/>
    </row>
    <row r="26" spans="1:14" x14ac:dyDescent="0.35">
      <c r="A26" s="35" t="s">
        <v>175</v>
      </c>
      <c r="B26" s="68" t="s">
        <v>88</v>
      </c>
      <c r="C26" s="68" t="s">
        <v>176</v>
      </c>
      <c r="D26" s="69" t="s">
        <v>90</v>
      </c>
      <c r="E26" s="69" t="s">
        <v>166</v>
      </c>
      <c r="F26" s="70" t="s">
        <v>86</v>
      </c>
      <c r="G26" s="70" t="s">
        <v>89</v>
      </c>
      <c r="H26" s="25"/>
      <c r="I26" s="25"/>
      <c r="J26" s="46">
        <f t="shared" si="0"/>
        <v>7</v>
      </c>
      <c r="K26" s="46">
        <f t="shared" si="1"/>
        <v>0</v>
      </c>
      <c r="L26" s="63" t="s">
        <v>72</v>
      </c>
      <c r="M26" s="25" t="s">
        <v>123</v>
      </c>
      <c r="N26" s="25"/>
    </row>
    <row r="27" spans="1:14" x14ac:dyDescent="0.35">
      <c r="A27" s="69" t="s">
        <v>177</v>
      </c>
      <c r="B27" s="71" t="s">
        <v>88</v>
      </c>
      <c r="C27" s="71" t="s">
        <v>178</v>
      </c>
      <c r="D27" s="69" t="s">
        <v>90</v>
      </c>
      <c r="E27" s="69" t="s">
        <v>173</v>
      </c>
      <c r="F27" s="70" t="s">
        <v>86</v>
      </c>
      <c r="G27" s="70" t="s">
        <v>179</v>
      </c>
      <c r="H27" s="25"/>
      <c r="I27" s="25"/>
      <c r="J27" s="46">
        <f t="shared" si="0"/>
        <v>5</v>
      </c>
      <c r="K27" s="46">
        <f t="shared" si="1"/>
        <v>0</v>
      </c>
      <c r="L27" s="63" t="s">
        <v>72</v>
      </c>
      <c r="M27" s="25" t="s">
        <v>123</v>
      </c>
      <c r="N27" s="25"/>
    </row>
    <row r="28" spans="1:14" x14ac:dyDescent="0.35">
      <c r="A28" s="69" t="s">
        <v>180</v>
      </c>
      <c r="B28" s="71" t="s">
        <v>88</v>
      </c>
      <c r="C28" s="71" t="s">
        <v>181</v>
      </c>
      <c r="D28" s="69" t="s">
        <v>84</v>
      </c>
      <c r="E28" s="69" t="s">
        <v>177</v>
      </c>
      <c r="F28" s="70" t="s">
        <v>179</v>
      </c>
      <c r="G28" s="70" t="s">
        <v>89</v>
      </c>
      <c r="H28" s="25"/>
      <c r="I28" s="25"/>
      <c r="J28" s="46">
        <f t="shared" si="0"/>
        <v>2</v>
      </c>
      <c r="K28" s="46">
        <f t="shared" si="1"/>
        <v>0</v>
      </c>
      <c r="L28" s="63" t="s">
        <v>72</v>
      </c>
      <c r="M28" s="25" t="s">
        <v>123</v>
      </c>
      <c r="N28" s="25"/>
    </row>
    <row r="29" spans="1:14" x14ac:dyDescent="0.35">
      <c r="A29" s="69" t="s">
        <v>182</v>
      </c>
      <c r="B29" s="71" t="s">
        <v>88</v>
      </c>
      <c r="C29" s="71" t="s">
        <v>183</v>
      </c>
      <c r="D29" s="69" t="s">
        <v>90</v>
      </c>
      <c r="E29" s="69" t="s">
        <v>180</v>
      </c>
      <c r="F29" s="70" t="s">
        <v>89</v>
      </c>
      <c r="G29" s="70" t="s">
        <v>89</v>
      </c>
      <c r="H29" s="25"/>
      <c r="I29" s="25"/>
      <c r="J29" s="46">
        <f t="shared" si="0"/>
        <v>0</v>
      </c>
      <c r="K29" s="46">
        <f t="shared" si="1"/>
        <v>0</v>
      </c>
      <c r="L29" s="63" t="s">
        <v>72</v>
      </c>
      <c r="M29" s="25" t="s">
        <v>123</v>
      </c>
      <c r="N29" s="25"/>
    </row>
    <row r="30" spans="1:14" x14ac:dyDescent="0.35">
      <c r="A30" s="33" t="s">
        <v>184</v>
      </c>
      <c r="B30" s="72" t="s">
        <v>91</v>
      </c>
      <c r="C30" s="72" t="s">
        <v>185</v>
      </c>
      <c r="D30" s="73" t="s">
        <v>93</v>
      </c>
      <c r="E30" s="73" t="s">
        <v>175</v>
      </c>
      <c r="F30" s="74" t="s">
        <v>89</v>
      </c>
      <c r="G30" s="74" t="s">
        <v>92</v>
      </c>
      <c r="H30" s="25"/>
      <c r="I30" s="25"/>
      <c r="J30" s="46">
        <f t="shared" si="0"/>
        <v>7</v>
      </c>
      <c r="K30" s="46">
        <f t="shared" si="1"/>
        <v>0</v>
      </c>
      <c r="L30" s="63" t="s">
        <v>72</v>
      </c>
      <c r="M30" s="25" t="s">
        <v>123</v>
      </c>
      <c r="N30" s="25"/>
    </row>
    <row r="31" spans="1:14" x14ac:dyDescent="0.35">
      <c r="A31" s="73" t="s">
        <v>186</v>
      </c>
      <c r="B31" s="75" t="s">
        <v>91</v>
      </c>
      <c r="C31" s="75" t="s">
        <v>187</v>
      </c>
      <c r="D31" s="73" t="s">
        <v>93</v>
      </c>
      <c r="E31" s="73" t="s">
        <v>182</v>
      </c>
      <c r="F31" s="74" t="s">
        <v>89</v>
      </c>
      <c r="G31" s="74" t="s">
        <v>188</v>
      </c>
      <c r="H31" s="25"/>
      <c r="I31" s="25"/>
      <c r="J31" s="46">
        <f t="shared" si="0"/>
        <v>3</v>
      </c>
      <c r="K31" s="46">
        <f t="shared" si="1"/>
        <v>0</v>
      </c>
      <c r="L31" s="63" t="s">
        <v>72</v>
      </c>
      <c r="M31" s="25" t="s">
        <v>123</v>
      </c>
      <c r="N31" s="25"/>
    </row>
    <row r="32" spans="1:14" x14ac:dyDescent="0.35">
      <c r="A32" s="73" t="s">
        <v>189</v>
      </c>
      <c r="B32" s="75" t="s">
        <v>91</v>
      </c>
      <c r="C32" s="75" t="s">
        <v>190</v>
      </c>
      <c r="D32" s="73" t="s">
        <v>93</v>
      </c>
      <c r="E32" s="73" t="s">
        <v>186</v>
      </c>
      <c r="F32" s="74" t="s">
        <v>92</v>
      </c>
      <c r="G32" s="74" t="s">
        <v>92</v>
      </c>
      <c r="H32" s="25"/>
      <c r="I32" s="25"/>
      <c r="J32" s="46">
        <f t="shared" si="0"/>
        <v>0</v>
      </c>
      <c r="K32" s="46">
        <f t="shared" si="1"/>
        <v>0</v>
      </c>
      <c r="L32" s="63" t="s">
        <v>72</v>
      </c>
      <c r="M32" s="25" t="s">
        <v>123</v>
      </c>
      <c r="N32" s="25"/>
    </row>
    <row r="33" spans="1:14" x14ac:dyDescent="0.35">
      <c r="A33" s="73" t="s">
        <v>191</v>
      </c>
      <c r="B33" s="75" t="s">
        <v>91</v>
      </c>
      <c r="C33" s="75" t="s">
        <v>192</v>
      </c>
      <c r="D33" s="73" t="s">
        <v>29</v>
      </c>
      <c r="E33" s="73" t="s">
        <v>189</v>
      </c>
      <c r="F33" s="74" t="s">
        <v>92</v>
      </c>
      <c r="G33" s="74" t="s">
        <v>92</v>
      </c>
      <c r="H33" s="25"/>
      <c r="I33" s="25"/>
      <c r="J33" s="46">
        <f t="shared" si="0"/>
        <v>0</v>
      </c>
      <c r="K33" s="46">
        <f t="shared" si="1"/>
        <v>0</v>
      </c>
      <c r="L33" s="63" t="s">
        <v>72</v>
      </c>
      <c r="M33" s="25" t="s">
        <v>123</v>
      </c>
      <c r="N33" s="25"/>
    </row>
    <row r="34" spans="1:14" x14ac:dyDescent="0.35">
      <c r="A34" s="59" t="s">
        <v>193</v>
      </c>
      <c r="B34" s="60" t="s">
        <v>94</v>
      </c>
      <c r="C34" s="60" t="s">
        <v>194</v>
      </c>
      <c r="D34" s="61" t="s">
        <v>29</v>
      </c>
      <c r="E34" s="61" t="s">
        <v>184</v>
      </c>
      <c r="F34" s="62" t="s">
        <v>92</v>
      </c>
      <c r="G34" s="62" t="s">
        <v>95</v>
      </c>
      <c r="H34" s="25"/>
      <c r="I34" s="25"/>
      <c r="J34" s="46">
        <f t="shared" si="0"/>
        <v>14</v>
      </c>
      <c r="K34" s="46">
        <f t="shared" si="1"/>
        <v>0</v>
      </c>
      <c r="L34" s="63" t="s">
        <v>72</v>
      </c>
      <c r="M34" s="25" t="s">
        <v>123</v>
      </c>
      <c r="N34" s="25"/>
    </row>
    <row r="35" spans="1:14" x14ac:dyDescent="0.35">
      <c r="A35" s="61" t="s">
        <v>195</v>
      </c>
      <c r="B35" s="64" t="s">
        <v>94</v>
      </c>
      <c r="C35" s="64" t="s">
        <v>196</v>
      </c>
      <c r="D35" s="61" t="s">
        <v>29</v>
      </c>
      <c r="E35" s="61" t="s">
        <v>191</v>
      </c>
      <c r="F35" s="62" t="s">
        <v>92</v>
      </c>
      <c r="G35" s="62" t="s">
        <v>95</v>
      </c>
      <c r="H35" s="25"/>
      <c r="I35" s="25"/>
      <c r="J35" s="46">
        <f t="shared" si="0"/>
        <v>14</v>
      </c>
      <c r="K35" s="46">
        <f t="shared" si="1"/>
        <v>0</v>
      </c>
      <c r="L35" s="63" t="s">
        <v>72</v>
      </c>
      <c r="M35" s="25" t="s">
        <v>123</v>
      </c>
      <c r="N35" s="25"/>
    </row>
    <row r="36" spans="1:14" x14ac:dyDescent="0.35">
      <c r="A36" s="61" t="s">
        <v>197</v>
      </c>
      <c r="B36" s="64" t="s">
        <v>94</v>
      </c>
      <c r="C36" s="64" t="s">
        <v>198</v>
      </c>
      <c r="D36" s="61" t="s">
        <v>29</v>
      </c>
      <c r="E36" s="61" t="s">
        <v>195</v>
      </c>
      <c r="F36" s="62" t="s">
        <v>199</v>
      </c>
      <c r="G36" s="62" t="s">
        <v>95</v>
      </c>
      <c r="H36" s="25"/>
      <c r="I36" s="25"/>
      <c r="J36" s="46">
        <f t="shared" si="0"/>
        <v>4</v>
      </c>
      <c r="K36" s="46">
        <f t="shared" si="1"/>
        <v>0</v>
      </c>
      <c r="L36" s="63" t="s">
        <v>72</v>
      </c>
      <c r="M36" s="25" t="s">
        <v>123</v>
      </c>
      <c r="N36" s="25"/>
    </row>
    <row r="37" spans="1:14" x14ac:dyDescent="0.35">
      <c r="A37" s="61" t="s">
        <v>200</v>
      </c>
      <c r="B37" s="64" t="s">
        <v>94</v>
      </c>
      <c r="C37" s="64" t="s">
        <v>201</v>
      </c>
      <c r="D37" s="61" t="s">
        <v>29</v>
      </c>
      <c r="E37" s="61" t="s">
        <v>197</v>
      </c>
      <c r="F37" s="62" t="s">
        <v>95</v>
      </c>
      <c r="G37" s="62" t="s">
        <v>95</v>
      </c>
      <c r="H37" s="25"/>
      <c r="I37" s="25"/>
      <c r="J37" s="46">
        <f t="shared" si="0"/>
        <v>0</v>
      </c>
      <c r="K37" s="46">
        <f t="shared" si="1"/>
        <v>0</v>
      </c>
      <c r="L37" s="63" t="s">
        <v>72</v>
      </c>
      <c r="M37" s="25" t="s">
        <v>123</v>
      </c>
      <c r="N37" s="25"/>
    </row>
  </sheetData>
  <mergeCells count="2">
    <mergeCell ref="A1:N1"/>
    <mergeCell ref="A2:N2"/>
  </mergeCells>
  <dataValidations count="1">
    <dataValidation type="list" allowBlank="1" sqref="M4:M37" xr:uid="{00000000-0002-0000-0300-000000000000}">
      <formula1>"Not Started,In Progress,Done,On Hold,Cancelled"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showGridLines="0" tabSelected="1" zoomScaleNormal="100" workbookViewId="0">
      <selection activeCell="H21" sqref="H21"/>
    </sheetView>
  </sheetViews>
  <sheetFormatPr defaultColWidth="8.6328125" defaultRowHeight="14.5" x14ac:dyDescent="0.35"/>
  <cols>
    <col min="1" max="1" width="19.1796875" style="2" bestFit="1" customWidth="1"/>
    <col min="2" max="2" width="10.1796875" style="2" bestFit="1" customWidth="1"/>
    <col min="3" max="3" width="11" style="2" bestFit="1" customWidth="1"/>
    <col min="4" max="4" width="11.1796875" style="2" bestFit="1" customWidth="1"/>
    <col min="5" max="5" width="13.453125" style="2" bestFit="1" customWidth="1"/>
    <col min="6" max="6" width="9.7265625" style="2" bestFit="1" customWidth="1"/>
    <col min="7" max="7" width="11.90625" style="2" bestFit="1" customWidth="1"/>
    <col min="8" max="8" width="9.90625" style="2" bestFit="1" customWidth="1"/>
    <col min="9" max="9" width="9.26953125" style="2" bestFit="1" customWidth="1"/>
    <col min="10" max="16384" width="8.6328125" style="2"/>
  </cols>
  <sheetData>
    <row r="1" spans="1:9" ht="17" x14ac:dyDescent="0.35">
      <c r="A1" s="21" t="s">
        <v>202</v>
      </c>
      <c r="B1" s="21"/>
      <c r="C1" s="21"/>
      <c r="D1" s="21"/>
      <c r="E1" s="21"/>
      <c r="F1" s="21"/>
      <c r="G1" s="21"/>
      <c r="H1" s="21"/>
      <c r="I1" s="21"/>
    </row>
    <row r="3" spans="1:9" x14ac:dyDescent="0.35">
      <c r="A3" s="4" t="s">
        <v>203</v>
      </c>
      <c r="B3" s="4"/>
      <c r="C3" s="4"/>
      <c r="D3" s="4"/>
    </row>
    <row r="4" spans="1:9" x14ac:dyDescent="0.35">
      <c r="A4" s="5" t="s">
        <v>204</v>
      </c>
      <c r="B4" s="50">
        <v>250000</v>
      </c>
      <c r="C4" s="51" t="s">
        <v>205</v>
      </c>
    </row>
    <row r="5" spans="1:9" x14ac:dyDescent="0.35">
      <c r="A5" s="5" t="s">
        <v>206</v>
      </c>
      <c r="B5" s="50">
        <v>25000</v>
      </c>
      <c r="C5" s="51" t="s">
        <v>207</v>
      </c>
    </row>
    <row r="6" spans="1:9" x14ac:dyDescent="0.35">
      <c r="A6" s="5" t="s">
        <v>208</v>
      </c>
      <c r="B6" s="52">
        <f>B4-B5</f>
        <v>225000</v>
      </c>
    </row>
    <row r="8" spans="1:9" x14ac:dyDescent="0.35">
      <c r="A8" s="4" t="s">
        <v>209</v>
      </c>
      <c r="B8" s="4"/>
      <c r="C8" s="4"/>
      <c r="D8" s="4"/>
      <c r="E8" s="4"/>
      <c r="F8" s="4"/>
      <c r="G8" s="4"/>
      <c r="H8" s="4"/>
      <c r="I8" s="4"/>
    </row>
    <row r="9" spans="1:9" x14ac:dyDescent="0.35">
      <c r="A9" s="16" t="s">
        <v>210</v>
      </c>
      <c r="B9" s="16" t="s">
        <v>211</v>
      </c>
      <c r="C9" s="16" t="s">
        <v>212</v>
      </c>
      <c r="D9" s="16" t="s">
        <v>118</v>
      </c>
      <c r="E9" s="16" t="s">
        <v>213</v>
      </c>
      <c r="F9" s="16" t="s">
        <v>119</v>
      </c>
      <c r="G9" s="16" t="s">
        <v>214</v>
      </c>
      <c r="H9" s="16" t="s">
        <v>215</v>
      </c>
      <c r="I9" s="16" t="s">
        <v>216</v>
      </c>
    </row>
    <row r="10" spans="1:9" x14ac:dyDescent="0.35">
      <c r="A10" s="30" t="s">
        <v>217</v>
      </c>
      <c r="B10" s="30" t="s">
        <v>29</v>
      </c>
      <c r="C10" s="53">
        <v>650</v>
      </c>
      <c r="D10" s="44">
        <v>80</v>
      </c>
      <c r="E10" s="52">
        <f>C10*D10</f>
        <v>52000</v>
      </c>
      <c r="F10" s="44">
        <v>0</v>
      </c>
      <c r="G10" s="52">
        <f>C10*F10</f>
        <v>0</v>
      </c>
      <c r="H10" s="52">
        <f>E10-G10</f>
        <v>52000</v>
      </c>
      <c r="I10" s="54">
        <f t="shared" ref="I10:I15" si="0">IFERROR(H10/E10,0)</f>
        <v>1</v>
      </c>
    </row>
    <row r="11" spans="1:9" x14ac:dyDescent="0.35">
      <c r="A11" s="30" t="s">
        <v>218</v>
      </c>
      <c r="B11" s="30" t="s">
        <v>147</v>
      </c>
      <c r="C11" s="53">
        <v>750</v>
      </c>
      <c r="D11" s="44">
        <v>80</v>
      </c>
      <c r="E11" s="52">
        <f>C11*D11</f>
        <v>60000</v>
      </c>
      <c r="F11" s="44">
        <v>0</v>
      </c>
      <c r="G11" s="52">
        <f>C11*F11</f>
        <v>0</v>
      </c>
      <c r="H11" s="52">
        <f>E11-G11</f>
        <v>60000</v>
      </c>
      <c r="I11" s="54">
        <f t="shared" si="0"/>
        <v>1</v>
      </c>
    </row>
    <row r="12" spans="1:9" x14ac:dyDescent="0.35">
      <c r="A12" s="30" t="s">
        <v>219</v>
      </c>
      <c r="B12" s="30" t="s">
        <v>154</v>
      </c>
      <c r="C12" s="53">
        <v>600</v>
      </c>
      <c r="D12" s="44">
        <v>80</v>
      </c>
      <c r="E12" s="52">
        <f>C12*D12</f>
        <v>48000</v>
      </c>
      <c r="F12" s="44">
        <v>0</v>
      </c>
      <c r="G12" s="52">
        <f>C12*F12</f>
        <v>0</v>
      </c>
      <c r="H12" s="52">
        <f>E12-G12</f>
        <v>48000</v>
      </c>
      <c r="I12" s="54">
        <f t="shared" si="0"/>
        <v>1</v>
      </c>
    </row>
    <row r="13" spans="1:9" x14ac:dyDescent="0.35">
      <c r="A13" s="30" t="s">
        <v>220</v>
      </c>
      <c r="B13" s="30" t="s">
        <v>221</v>
      </c>
      <c r="C13" s="53">
        <v>550</v>
      </c>
      <c r="D13" s="44">
        <v>60</v>
      </c>
      <c r="E13" s="52">
        <f>C13*D13</f>
        <v>33000</v>
      </c>
      <c r="F13" s="44">
        <v>0</v>
      </c>
      <c r="G13" s="52">
        <f>C13*F13</f>
        <v>0</v>
      </c>
      <c r="H13" s="52">
        <f>E13-G13</f>
        <v>33000</v>
      </c>
      <c r="I13" s="54">
        <f t="shared" si="0"/>
        <v>1</v>
      </c>
    </row>
    <row r="14" spans="1:9" x14ac:dyDescent="0.35">
      <c r="A14" s="30" t="s">
        <v>222</v>
      </c>
      <c r="B14" s="30" t="s">
        <v>93</v>
      </c>
      <c r="C14" s="53">
        <v>650</v>
      </c>
      <c r="D14" s="44">
        <v>50</v>
      </c>
      <c r="E14" s="52">
        <f>C14*D14</f>
        <v>32500</v>
      </c>
      <c r="F14" s="44">
        <v>0</v>
      </c>
      <c r="G14" s="52">
        <f>C14*F14</f>
        <v>0</v>
      </c>
      <c r="H14" s="52">
        <f>E14-G14</f>
        <v>32500</v>
      </c>
      <c r="I14" s="54">
        <f t="shared" si="0"/>
        <v>1</v>
      </c>
    </row>
    <row r="15" spans="1:9" x14ac:dyDescent="0.35">
      <c r="A15" s="5" t="s">
        <v>223</v>
      </c>
      <c r="B15" s="34"/>
      <c r="C15" s="34"/>
      <c r="D15" s="55">
        <f>SUM(D10:D14)</f>
        <v>350</v>
      </c>
      <c r="E15" s="55">
        <f>SUM(E10:E14)</f>
        <v>225500</v>
      </c>
      <c r="F15" s="55">
        <f>SUM(F10:F14)</f>
        <v>0</v>
      </c>
      <c r="G15" s="55">
        <f>SUM(G10:G14)</f>
        <v>0</v>
      </c>
      <c r="H15" s="55">
        <f>SUM(H10:H14)</f>
        <v>225500</v>
      </c>
      <c r="I15" s="56">
        <f t="shared" si="0"/>
        <v>1</v>
      </c>
    </row>
    <row r="17" spans="1:4" x14ac:dyDescent="0.35">
      <c r="A17" s="4" t="s">
        <v>224</v>
      </c>
      <c r="B17" s="4"/>
      <c r="C17" s="4"/>
      <c r="D17" s="4"/>
    </row>
    <row r="18" spans="1:4" x14ac:dyDescent="0.35">
      <c r="A18" s="5" t="s">
        <v>225</v>
      </c>
      <c r="B18" s="57">
        <f>E15</f>
        <v>225500</v>
      </c>
    </row>
    <row r="19" spans="1:4" x14ac:dyDescent="0.35">
      <c r="A19" s="5" t="s">
        <v>226</v>
      </c>
      <c r="B19" s="57">
        <f>G15</f>
        <v>0</v>
      </c>
    </row>
    <row r="20" spans="1:4" x14ac:dyDescent="0.35">
      <c r="A20" s="5" t="s">
        <v>227</v>
      </c>
      <c r="B20" s="57">
        <f>E18-E19</f>
        <v>0</v>
      </c>
    </row>
    <row r="21" spans="1:4" x14ac:dyDescent="0.35">
      <c r="A21" s="5" t="s">
        <v>55</v>
      </c>
      <c r="B21" s="58">
        <f>IFERROR(E19/B6,0)</f>
        <v>0</v>
      </c>
    </row>
    <row r="22" spans="1:4" x14ac:dyDescent="0.35">
      <c r="A22" s="5" t="s">
        <v>228</v>
      </c>
      <c r="B22" s="57">
        <f>B6-E19</f>
        <v>225000</v>
      </c>
    </row>
  </sheetData>
  <mergeCells count="4">
    <mergeCell ref="A1:I1"/>
    <mergeCell ref="A3:D3"/>
    <mergeCell ref="A8:I8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showGridLines="0" zoomScaleNormal="100" workbookViewId="0">
      <pane ySplit="2" topLeftCell="A3" activePane="bottomLeft" state="frozen"/>
      <selection pane="bottomLeft" activeCell="D14" sqref="D14"/>
    </sheetView>
  </sheetViews>
  <sheetFormatPr defaultColWidth="8.6328125" defaultRowHeight="14.5" x14ac:dyDescent="0.35"/>
  <cols>
    <col min="1" max="1" width="6" style="2" customWidth="1"/>
    <col min="2" max="2" width="32" style="2" customWidth="1"/>
    <col min="3" max="6" width="14" style="2" customWidth="1"/>
    <col min="7" max="7" width="10" style="2" customWidth="1"/>
    <col min="8" max="8" width="16" style="2" customWidth="1"/>
    <col min="9" max="9" width="28" style="2" customWidth="1"/>
    <col min="10" max="16384" width="8.6328125" style="2"/>
  </cols>
  <sheetData>
    <row r="1" spans="1:9" ht="31.5" customHeight="1" x14ac:dyDescent="0.35">
      <c r="A1" s="21" t="s">
        <v>229</v>
      </c>
      <c r="B1" s="21"/>
      <c r="C1" s="21"/>
      <c r="D1" s="21"/>
      <c r="E1" s="21"/>
      <c r="F1" s="21"/>
      <c r="G1" s="21"/>
      <c r="H1" s="21"/>
    </row>
    <row r="2" spans="1:9" ht="21.75" customHeight="1" x14ac:dyDescent="0.35">
      <c r="A2" s="16" t="s">
        <v>97</v>
      </c>
      <c r="B2" s="16" t="s">
        <v>230</v>
      </c>
      <c r="C2" s="16" t="s">
        <v>63</v>
      </c>
      <c r="D2" s="16" t="s">
        <v>231</v>
      </c>
      <c r="E2" s="16" t="s">
        <v>232</v>
      </c>
      <c r="F2" s="16" t="s">
        <v>64</v>
      </c>
      <c r="G2" s="16" t="s">
        <v>233</v>
      </c>
      <c r="H2" s="16" t="s">
        <v>234</v>
      </c>
      <c r="I2" s="16" t="s">
        <v>235</v>
      </c>
    </row>
    <row r="3" spans="1:9" ht="18" customHeight="1" x14ac:dyDescent="0.35">
      <c r="A3" s="47" t="s">
        <v>236</v>
      </c>
      <c r="B3" s="47" t="s">
        <v>237</v>
      </c>
      <c r="C3" s="47" t="s">
        <v>29</v>
      </c>
      <c r="D3" s="48" t="s">
        <v>68</v>
      </c>
      <c r="E3" s="49"/>
      <c r="F3" s="25" t="s">
        <v>238</v>
      </c>
      <c r="G3" s="47" t="s">
        <v>239</v>
      </c>
      <c r="H3" s="46" t="str">
        <f t="shared" ref="H3:H10" si="0">IFERROR(IF(E3="","",DATEDIF(D3,E3,"D")),"")</f>
        <v/>
      </c>
      <c r="I3" s="25"/>
    </row>
    <row r="4" spans="1:9" ht="18" customHeight="1" x14ac:dyDescent="0.35">
      <c r="A4" s="47" t="s">
        <v>240</v>
      </c>
      <c r="B4" s="47" t="s">
        <v>241</v>
      </c>
      <c r="C4" s="47" t="s">
        <v>77</v>
      </c>
      <c r="D4" s="48" t="s">
        <v>75</v>
      </c>
      <c r="E4" s="49"/>
      <c r="F4" s="25" t="s">
        <v>71</v>
      </c>
      <c r="G4" s="47" t="s">
        <v>239</v>
      </c>
      <c r="H4" s="46" t="str">
        <f t="shared" si="0"/>
        <v/>
      </c>
      <c r="I4" s="25"/>
    </row>
    <row r="5" spans="1:9" ht="18" customHeight="1" x14ac:dyDescent="0.35">
      <c r="A5" s="47" t="s">
        <v>242</v>
      </c>
      <c r="B5" s="47" t="s">
        <v>243</v>
      </c>
      <c r="C5" s="47" t="s">
        <v>80</v>
      </c>
      <c r="D5" s="48" t="s">
        <v>79</v>
      </c>
      <c r="E5" s="49"/>
      <c r="F5" s="25" t="s">
        <v>71</v>
      </c>
      <c r="G5" s="47" t="s">
        <v>239</v>
      </c>
      <c r="H5" s="46" t="str">
        <f t="shared" si="0"/>
        <v/>
      </c>
      <c r="I5" s="25"/>
    </row>
    <row r="6" spans="1:9" ht="18" customHeight="1" x14ac:dyDescent="0.35">
      <c r="A6" s="47" t="s">
        <v>244</v>
      </c>
      <c r="B6" s="47" t="s">
        <v>245</v>
      </c>
      <c r="C6" s="47" t="s">
        <v>84</v>
      </c>
      <c r="D6" s="48" t="s">
        <v>82</v>
      </c>
      <c r="E6" s="49"/>
      <c r="F6" s="25" t="s">
        <v>71</v>
      </c>
      <c r="G6" s="47" t="s">
        <v>239</v>
      </c>
      <c r="H6" s="46" t="str">
        <f t="shared" si="0"/>
        <v/>
      </c>
      <c r="I6" s="25"/>
    </row>
    <row r="7" spans="1:9" ht="18" customHeight="1" x14ac:dyDescent="0.35">
      <c r="A7" s="47" t="s">
        <v>246</v>
      </c>
      <c r="B7" s="47" t="s">
        <v>247</v>
      </c>
      <c r="C7" s="47" t="s">
        <v>87</v>
      </c>
      <c r="D7" s="48" t="s">
        <v>86</v>
      </c>
      <c r="E7" s="49"/>
      <c r="F7" s="25" t="s">
        <v>71</v>
      </c>
      <c r="G7" s="47" t="s">
        <v>239</v>
      </c>
      <c r="H7" s="46" t="str">
        <f t="shared" si="0"/>
        <v/>
      </c>
      <c r="I7" s="25"/>
    </row>
    <row r="8" spans="1:9" ht="18" customHeight="1" x14ac:dyDescent="0.35">
      <c r="A8" s="47" t="s">
        <v>248</v>
      </c>
      <c r="B8" s="47" t="s">
        <v>249</v>
      </c>
      <c r="C8" s="47" t="s">
        <v>90</v>
      </c>
      <c r="D8" s="48" t="s">
        <v>89</v>
      </c>
      <c r="E8" s="49"/>
      <c r="F8" s="25" t="s">
        <v>71</v>
      </c>
      <c r="G8" s="47" t="s">
        <v>239</v>
      </c>
      <c r="H8" s="46" t="str">
        <f t="shared" si="0"/>
        <v/>
      </c>
      <c r="I8" s="25"/>
    </row>
    <row r="9" spans="1:9" ht="18" customHeight="1" x14ac:dyDescent="0.35">
      <c r="A9" s="47" t="s">
        <v>250</v>
      </c>
      <c r="B9" s="47" t="s">
        <v>251</v>
      </c>
      <c r="C9" s="47" t="s">
        <v>93</v>
      </c>
      <c r="D9" s="48" t="s">
        <v>92</v>
      </c>
      <c r="E9" s="49"/>
      <c r="F9" s="25" t="s">
        <v>71</v>
      </c>
      <c r="G9" s="47" t="s">
        <v>252</v>
      </c>
      <c r="H9" s="46" t="str">
        <f t="shared" si="0"/>
        <v/>
      </c>
      <c r="I9" s="25"/>
    </row>
    <row r="10" spans="1:9" ht="18" customHeight="1" x14ac:dyDescent="0.35">
      <c r="A10" s="47" t="s">
        <v>253</v>
      </c>
      <c r="B10" s="47" t="s">
        <v>254</v>
      </c>
      <c r="C10" s="47" t="s">
        <v>29</v>
      </c>
      <c r="D10" s="48" t="s">
        <v>95</v>
      </c>
      <c r="E10" s="49"/>
      <c r="F10" s="25" t="s">
        <v>71</v>
      </c>
      <c r="G10" s="47" t="s">
        <v>255</v>
      </c>
      <c r="H10" s="46" t="str">
        <f t="shared" si="0"/>
        <v/>
      </c>
      <c r="I10" s="25"/>
    </row>
  </sheetData>
  <mergeCells count="1">
    <mergeCell ref="A1:H1"/>
  </mergeCells>
  <dataValidations count="1">
    <dataValidation type="list" allowBlank="1" sqref="F3:F10" xr:uid="{00000000-0002-0000-0500-000000000000}">
      <formula1>"Planned,In Progress,Complete,Delayed,Cancelled"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showGridLines="0" zoomScaleNormal="100" workbookViewId="0">
      <selection activeCell="C12" sqref="C12"/>
    </sheetView>
  </sheetViews>
  <sheetFormatPr defaultColWidth="8.6328125" defaultRowHeight="14.5" x14ac:dyDescent="0.35"/>
  <cols>
    <col min="1" max="1" width="16" style="2" customWidth="1"/>
    <col min="2" max="6" width="14" style="2" customWidth="1"/>
    <col min="7" max="7" width="12" style="2" customWidth="1"/>
    <col min="8" max="10" width="14" style="2" customWidth="1"/>
    <col min="11" max="16384" width="8.6328125" style="2"/>
  </cols>
  <sheetData>
    <row r="1" spans="1:10" ht="17" x14ac:dyDescent="0.35">
      <c r="A1" s="21" t="s">
        <v>256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5" customHeight="1" x14ac:dyDescent="0.35">
      <c r="A2" s="16" t="s">
        <v>210</v>
      </c>
      <c r="B2" s="16" t="s">
        <v>211</v>
      </c>
      <c r="C2" s="16" t="s">
        <v>257</v>
      </c>
      <c r="D2" s="16" t="s">
        <v>24</v>
      </c>
      <c r="E2" s="16" t="s">
        <v>25</v>
      </c>
      <c r="F2" s="16" t="s">
        <v>258</v>
      </c>
      <c r="G2" s="16" t="s">
        <v>259</v>
      </c>
      <c r="H2" s="16" t="s">
        <v>260</v>
      </c>
      <c r="I2" s="16" t="s">
        <v>261</v>
      </c>
      <c r="J2" s="16" t="s">
        <v>262</v>
      </c>
    </row>
    <row r="3" spans="1:10" ht="18" customHeight="1" x14ac:dyDescent="0.35">
      <c r="A3" s="30" t="s">
        <v>217</v>
      </c>
      <c r="B3" s="30" t="s">
        <v>29</v>
      </c>
      <c r="C3" s="30" t="s">
        <v>263</v>
      </c>
      <c r="D3" s="43" t="s">
        <v>68</v>
      </c>
      <c r="E3" s="43" t="s">
        <v>95</v>
      </c>
      <c r="F3" s="44">
        <v>480</v>
      </c>
      <c r="G3" s="44">
        <v>0</v>
      </c>
      <c r="H3" s="44" t="s">
        <v>264</v>
      </c>
      <c r="I3" s="45">
        <f>IFERROR(G3/F3,0)</f>
        <v>0</v>
      </c>
      <c r="J3" s="46" t="str">
        <f>IF(IFERROR(VALUE(LEFT(H3,LEN(H3)-1)),0)&gt;90,"OVERLOADED","OK")</f>
        <v>OK</v>
      </c>
    </row>
    <row r="4" spans="1:10" ht="18" customHeight="1" x14ac:dyDescent="0.35">
      <c r="A4" s="30" t="s">
        <v>218</v>
      </c>
      <c r="B4" s="30" t="s">
        <v>147</v>
      </c>
      <c r="C4" s="30" t="s">
        <v>265</v>
      </c>
      <c r="D4" s="43" t="s">
        <v>68</v>
      </c>
      <c r="E4" s="43" t="s">
        <v>95</v>
      </c>
      <c r="F4" s="44">
        <v>480</v>
      </c>
      <c r="G4" s="44">
        <v>0</v>
      </c>
      <c r="H4" s="44" t="s">
        <v>264</v>
      </c>
      <c r="I4" s="45">
        <f>IFERROR(G4/F4,0)</f>
        <v>0</v>
      </c>
      <c r="J4" s="46" t="str">
        <f>IF(IFERROR(VALUE(LEFT(H4,LEN(H4)-1)),0)&gt;90,"OVERLOADED","OK")</f>
        <v>OK</v>
      </c>
    </row>
    <row r="5" spans="1:10" ht="18" customHeight="1" x14ac:dyDescent="0.35">
      <c r="A5" s="30" t="s">
        <v>219</v>
      </c>
      <c r="B5" s="30" t="s">
        <v>154</v>
      </c>
      <c r="C5" s="30" t="s">
        <v>265</v>
      </c>
      <c r="D5" s="43" t="s">
        <v>68</v>
      </c>
      <c r="E5" s="43" t="s">
        <v>95</v>
      </c>
      <c r="F5" s="44">
        <v>480</v>
      </c>
      <c r="G5" s="44">
        <v>0</v>
      </c>
      <c r="H5" s="44" t="s">
        <v>264</v>
      </c>
      <c r="I5" s="45">
        <f>IFERROR(G5/F5,0)</f>
        <v>0</v>
      </c>
      <c r="J5" s="46" t="str">
        <f>IF(IFERROR(VALUE(LEFT(H5,LEN(H5)-1)),0)&gt;90,"OVERLOADED","OK")</f>
        <v>OK</v>
      </c>
    </row>
    <row r="6" spans="1:10" ht="18" customHeight="1" x14ac:dyDescent="0.35">
      <c r="A6" s="30" t="s">
        <v>220</v>
      </c>
      <c r="B6" s="30" t="s">
        <v>221</v>
      </c>
      <c r="C6" s="30" t="s">
        <v>266</v>
      </c>
      <c r="D6" s="43" t="s">
        <v>68</v>
      </c>
      <c r="E6" s="43" t="s">
        <v>95</v>
      </c>
      <c r="F6" s="44">
        <v>360</v>
      </c>
      <c r="G6" s="44">
        <v>0</v>
      </c>
      <c r="H6" s="44" t="s">
        <v>264</v>
      </c>
      <c r="I6" s="45">
        <f>IFERROR(G6/F6,0)</f>
        <v>0</v>
      </c>
      <c r="J6" s="46" t="str">
        <f>IF(IFERROR(VALUE(LEFT(H6,LEN(H6)-1)),0)&gt;90,"OVERLOADED","OK")</f>
        <v>OK</v>
      </c>
    </row>
    <row r="7" spans="1:10" ht="18" customHeight="1" x14ac:dyDescent="0.35">
      <c r="A7" s="30" t="s">
        <v>222</v>
      </c>
      <c r="B7" s="30" t="s">
        <v>93</v>
      </c>
      <c r="C7" s="30" t="s">
        <v>265</v>
      </c>
      <c r="D7" s="43" t="s">
        <v>68</v>
      </c>
      <c r="E7" s="43" t="s">
        <v>95</v>
      </c>
      <c r="F7" s="44">
        <v>300</v>
      </c>
      <c r="G7" s="44">
        <v>0</v>
      </c>
      <c r="H7" s="44" t="s">
        <v>264</v>
      </c>
      <c r="I7" s="45">
        <f>IFERROR(G7/F7,0)</f>
        <v>0</v>
      </c>
      <c r="J7" s="46" t="str">
        <f>IF(IFERROR(VALUE(LEFT(H7,LEN(H7)-1)),0)&gt;90,"OVERLOADED","OK")</f>
        <v>OK</v>
      </c>
    </row>
    <row r="9" spans="1:10" ht="15" customHeight="1" x14ac:dyDescent="0.35">
      <c r="A9" s="22" t="s">
        <v>267</v>
      </c>
      <c r="B9" s="22"/>
      <c r="C9" s="22"/>
      <c r="D9" s="22"/>
      <c r="E9" s="22"/>
      <c r="F9" s="22"/>
      <c r="G9" s="22"/>
      <c r="H9" s="22"/>
      <c r="I9" s="22"/>
      <c r="J9" s="22"/>
    </row>
  </sheetData>
  <mergeCells count="2">
    <mergeCell ref="A1:J1"/>
    <mergeCell ref="A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"/>
  <sheetViews>
    <sheetView showGridLines="0" zoomScaleNormal="100" workbookViewId="0">
      <pane ySplit="2" topLeftCell="A3" activePane="bottomLeft" state="frozen"/>
      <selection pane="bottomLeft" activeCell="C18" sqref="C18"/>
    </sheetView>
  </sheetViews>
  <sheetFormatPr defaultColWidth="8.6328125" defaultRowHeight="14.5" x14ac:dyDescent="0.35"/>
  <cols>
    <col min="1" max="1" width="2.81640625" style="2" bestFit="1" customWidth="1"/>
    <col min="2" max="2" width="10.1796875" style="2" bestFit="1" customWidth="1"/>
    <col min="3" max="3" width="64.7265625" style="2" bestFit="1" customWidth="1"/>
    <col min="4" max="4" width="9.90625" style="2" bestFit="1" customWidth="1"/>
    <col min="5" max="5" width="13.1796875" style="2" bestFit="1" customWidth="1"/>
    <col min="6" max="6" width="8.453125" style="2" bestFit="1" customWidth="1"/>
    <col min="7" max="7" width="8.36328125" style="2" bestFit="1" customWidth="1"/>
    <col min="8" max="8" width="99.26953125" style="2" bestFit="1" customWidth="1"/>
    <col min="9" max="9" width="5.54296875" style="2" bestFit="1" customWidth="1"/>
    <col min="10" max="16384" width="8.6328125" style="2"/>
  </cols>
  <sheetData>
    <row r="1" spans="1:9" ht="17" x14ac:dyDescent="0.35">
      <c r="A1" s="21" t="s">
        <v>268</v>
      </c>
      <c r="B1" s="21"/>
      <c r="C1" s="21"/>
      <c r="D1" s="21"/>
      <c r="E1" s="21"/>
      <c r="F1" s="21"/>
      <c r="G1" s="21"/>
      <c r="H1" s="21"/>
      <c r="I1" s="21"/>
    </row>
    <row r="3" spans="1:9" x14ac:dyDescent="0.35">
      <c r="A3" s="36" t="s">
        <v>269</v>
      </c>
      <c r="B3" s="36"/>
      <c r="C3" s="36"/>
      <c r="D3" s="36"/>
      <c r="E3" s="36"/>
      <c r="F3" s="36"/>
      <c r="G3" s="36"/>
      <c r="H3" s="36"/>
      <c r="I3" s="36"/>
    </row>
    <row r="4" spans="1:9" x14ac:dyDescent="0.35">
      <c r="A4" s="16" t="s">
        <v>97</v>
      </c>
      <c r="B4" s="16" t="s">
        <v>270</v>
      </c>
      <c r="C4" s="16" t="s">
        <v>98</v>
      </c>
      <c r="D4" s="16" t="s">
        <v>271</v>
      </c>
      <c r="E4" s="16" t="s">
        <v>272</v>
      </c>
      <c r="F4" s="16" t="s">
        <v>273</v>
      </c>
      <c r="G4" s="16" t="s">
        <v>63</v>
      </c>
      <c r="H4" s="16" t="s">
        <v>274</v>
      </c>
      <c r="I4" s="16" t="s">
        <v>64</v>
      </c>
    </row>
    <row r="5" spans="1:9" x14ac:dyDescent="0.35">
      <c r="A5" s="17" t="s">
        <v>275</v>
      </c>
      <c r="B5" s="30" t="s">
        <v>276</v>
      </c>
      <c r="C5" s="37" t="s">
        <v>277</v>
      </c>
      <c r="D5" s="38">
        <v>4</v>
      </c>
      <c r="E5" s="38">
        <v>3</v>
      </c>
      <c r="F5" s="39">
        <f t="shared" ref="F5:F10" si="0">IF(D5="","",D5*E5)</f>
        <v>12</v>
      </c>
      <c r="G5" s="40" t="s">
        <v>29</v>
      </c>
      <c r="H5" s="37" t="s">
        <v>278</v>
      </c>
      <c r="I5" s="40" t="s">
        <v>279</v>
      </c>
    </row>
    <row r="6" spans="1:9" x14ac:dyDescent="0.35">
      <c r="A6" s="17" t="s">
        <v>280</v>
      </c>
      <c r="B6" s="30" t="s">
        <v>276</v>
      </c>
      <c r="C6" s="37" t="s">
        <v>281</v>
      </c>
      <c r="D6" s="38">
        <v>4</v>
      </c>
      <c r="E6" s="38">
        <v>3</v>
      </c>
      <c r="F6" s="39">
        <f t="shared" si="0"/>
        <v>12</v>
      </c>
      <c r="G6" s="40" t="s">
        <v>147</v>
      </c>
      <c r="H6" s="37" t="s">
        <v>282</v>
      </c>
      <c r="I6" s="40" t="s">
        <v>279</v>
      </c>
    </row>
    <row r="7" spans="1:9" x14ac:dyDescent="0.35">
      <c r="A7" s="17" t="s">
        <v>283</v>
      </c>
      <c r="B7" s="30" t="s">
        <v>276</v>
      </c>
      <c r="C7" s="37" t="s">
        <v>284</v>
      </c>
      <c r="D7" s="38">
        <v>5</v>
      </c>
      <c r="E7" s="38">
        <v>2</v>
      </c>
      <c r="F7" s="39">
        <f t="shared" si="0"/>
        <v>10</v>
      </c>
      <c r="G7" s="40" t="s">
        <v>84</v>
      </c>
      <c r="H7" s="37" t="s">
        <v>285</v>
      </c>
      <c r="I7" s="40" t="s">
        <v>279</v>
      </c>
    </row>
    <row r="8" spans="1:9" x14ac:dyDescent="0.35">
      <c r="A8" s="17" t="s">
        <v>286</v>
      </c>
      <c r="B8" s="30" t="s">
        <v>276</v>
      </c>
      <c r="C8" s="37" t="s">
        <v>287</v>
      </c>
      <c r="D8" s="38">
        <v>5</v>
      </c>
      <c r="E8" s="38">
        <v>2</v>
      </c>
      <c r="F8" s="39">
        <f t="shared" si="0"/>
        <v>10</v>
      </c>
      <c r="G8" s="40" t="s">
        <v>93</v>
      </c>
      <c r="H8" s="37" t="s">
        <v>288</v>
      </c>
      <c r="I8" s="40" t="s">
        <v>279</v>
      </c>
    </row>
    <row r="9" spans="1:9" x14ac:dyDescent="0.35">
      <c r="A9" s="17" t="s">
        <v>289</v>
      </c>
      <c r="B9" s="30" t="s">
        <v>276</v>
      </c>
      <c r="C9" s="37" t="s">
        <v>290</v>
      </c>
      <c r="D9" s="38">
        <v>4</v>
      </c>
      <c r="E9" s="38">
        <v>3</v>
      </c>
      <c r="F9" s="39">
        <f t="shared" si="0"/>
        <v>12</v>
      </c>
      <c r="G9" s="40" t="s">
        <v>29</v>
      </c>
      <c r="H9" s="37" t="s">
        <v>291</v>
      </c>
      <c r="I9" s="40" t="s">
        <v>279</v>
      </c>
    </row>
    <row r="10" spans="1:9" x14ac:dyDescent="0.35">
      <c r="A10" s="17" t="s">
        <v>292</v>
      </c>
      <c r="B10" s="30" t="s">
        <v>276</v>
      </c>
      <c r="C10" s="37" t="s">
        <v>293</v>
      </c>
      <c r="D10" s="38">
        <v>4</v>
      </c>
      <c r="E10" s="38">
        <v>2</v>
      </c>
      <c r="F10" s="39">
        <f t="shared" si="0"/>
        <v>8</v>
      </c>
      <c r="G10" s="40" t="s">
        <v>87</v>
      </c>
      <c r="H10" s="37" t="s">
        <v>294</v>
      </c>
      <c r="I10" s="40" t="s">
        <v>279</v>
      </c>
    </row>
    <row r="12" spans="1:9" x14ac:dyDescent="0.35">
      <c r="A12" s="41" t="s">
        <v>103</v>
      </c>
      <c r="B12" s="41"/>
      <c r="C12" s="41"/>
      <c r="D12" s="41"/>
      <c r="E12" s="41"/>
      <c r="F12" s="41"/>
      <c r="G12" s="41"/>
      <c r="H12" s="41"/>
      <c r="I12" s="41"/>
    </row>
    <row r="13" spans="1:9" x14ac:dyDescent="0.35">
      <c r="A13" s="16" t="s">
        <v>97</v>
      </c>
      <c r="B13" s="16" t="s">
        <v>270</v>
      </c>
      <c r="C13" s="16" t="s">
        <v>98</v>
      </c>
      <c r="D13" s="16" t="s">
        <v>271</v>
      </c>
      <c r="E13" s="16" t="s">
        <v>272</v>
      </c>
      <c r="F13" s="16" t="s">
        <v>273</v>
      </c>
      <c r="G13" s="16" t="s">
        <v>63</v>
      </c>
      <c r="H13" s="16" t="s">
        <v>274</v>
      </c>
      <c r="I13" s="16" t="s">
        <v>64</v>
      </c>
    </row>
    <row r="14" spans="1:9" x14ac:dyDescent="0.35">
      <c r="A14" s="17" t="s">
        <v>104</v>
      </c>
      <c r="B14" s="30" t="s">
        <v>295</v>
      </c>
      <c r="C14" s="37" t="s">
        <v>296</v>
      </c>
      <c r="D14" s="38">
        <v>3</v>
      </c>
      <c r="E14" s="38">
        <v>2</v>
      </c>
      <c r="F14" s="39">
        <f>IF(D14="","",D14*E14)</f>
        <v>6</v>
      </c>
      <c r="G14" s="40" t="s">
        <v>29</v>
      </c>
      <c r="H14" s="37" t="s">
        <v>297</v>
      </c>
      <c r="I14" s="40" t="s">
        <v>279</v>
      </c>
    </row>
    <row r="15" spans="1:9" x14ac:dyDescent="0.35">
      <c r="A15" s="17" t="s">
        <v>105</v>
      </c>
      <c r="B15" s="30" t="s">
        <v>295</v>
      </c>
      <c r="C15" s="37" t="s">
        <v>298</v>
      </c>
      <c r="D15" s="38">
        <v>3</v>
      </c>
      <c r="E15" s="38">
        <v>3</v>
      </c>
      <c r="F15" s="39">
        <f>IF(D15="","",D15*E15)</f>
        <v>9</v>
      </c>
      <c r="G15" s="40" t="s">
        <v>147</v>
      </c>
      <c r="H15" s="37" t="s">
        <v>299</v>
      </c>
      <c r="I15" s="40" t="s">
        <v>279</v>
      </c>
    </row>
    <row r="16" spans="1:9" x14ac:dyDescent="0.35">
      <c r="A16" s="17" t="s">
        <v>106</v>
      </c>
      <c r="B16" s="30" t="s">
        <v>295</v>
      </c>
      <c r="C16" s="37" t="s">
        <v>300</v>
      </c>
      <c r="D16" s="38">
        <v>4</v>
      </c>
      <c r="E16" s="38">
        <v>2</v>
      </c>
      <c r="F16" s="39">
        <f>IF(D16="","",D16*E16)</f>
        <v>8</v>
      </c>
      <c r="G16" s="40" t="s">
        <v>29</v>
      </c>
      <c r="H16" s="37" t="s">
        <v>301</v>
      </c>
      <c r="I16" s="40" t="s">
        <v>279</v>
      </c>
    </row>
    <row r="17" spans="1:9" x14ac:dyDescent="0.35">
      <c r="A17" s="17" t="s">
        <v>107</v>
      </c>
      <c r="B17" s="30" t="s">
        <v>295</v>
      </c>
      <c r="C17" s="37" t="s">
        <v>302</v>
      </c>
      <c r="D17" s="38">
        <v>4</v>
      </c>
      <c r="E17" s="38">
        <v>2</v>
      </c>
      <c r="F17" s="39">
        <f>IF(D17="","",D17*E17)</f>
        <v>8</v>
      </c>
      <c r="G17" s="40" t="s">
        <v>93</v>
      </c>
      <c r="H17" s="37" t="s">
        <v>303</v>
      </c>
      <c r="I17" s="40" t="s">
        <v>279</v>
      </c>
    </row>
    <row r="18" spans="1:9" x14ac:dyDescent="0.35">
      <c r="A18" s="17" t="s">
        <v>108</v>
      </c>
      <c r="B18" s="30" t="s">
        <v>295</v>
      </c>
      <c r="C18" s="37" t="s">
        <v>304</v>
      </c>
      <c r="D18" s="38">
        <v>4</v>
      </c>
      <c r="E18" s="38">
        <v>3</v>
      </c>
      <c r="F18" s="39">
        <f>IF(D18="","",D18*E18)</f>
        <v>12</v>
      </c>
      <c r="G18" s="40" t="s">
        <v>29</v>
      </c>
      <c r="H18" s="37" t="s">
        <v>305</v>
      </c>
      <c r="I18" s="40" t="s">
        <v>279</v>
      </c>
    </row>
    <row r="20" spans="1:9" x14ac:dyDescent="0.35">
      <c r="A20" s="4" t="s">
        <v>306</v>
      </c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16" t="s">
        <v>97</v>
      </c>
      <c r="B21" s="16" t="s">
        <v>270</v>
      </c>
      <c r="C21" s="16" t="s">
        <v>98</v>
      </c>
      <c r="D21" s="16" t="s">
        <v>271</v>
      </c>
      <c r="E21" s="16" t="s">
        <v>272</v>
      </c>
      <c r="F21" s="16" t="s">
        <v>273</v>
      </c>
      <c r="G21" s="16" t="s">
        <v>63</v>
      </c>
      <c r="H21" s="16" t="s">
        <v>274</v>
      </c>
      <c r="I21" s="16" t="s">
        <v>64</v>
      </c>
    </row>
    <row r="22" spans="1:9" x14ac:dyDescent="0.35">
      <c r="A22" s="17" t="s">
        <v>307</v>
      </c>
      <c r="B22" s="30" t="s">
        <v>308</v>
      </c>
      <c r="C22" s="37" t="s">
        <v>309</v>
      </c>
      <c r="D22" s="38">
        <v>0</v>
      </c>
      <c r="E22" s="38">
        <v>0</v>
      </c>
      <c r="F22" s="39">
        <f>IF(D22="","",D22*E22)</f>
        <v>0</v>
      </c>
      <c r="G22" s="40" t="s">
        <v>310</v>
      </c>
      <c r="H22" s="37" t="s">
        <v>311</v>
      </c>
      <c r="I22" s="40" t="s">
        <v>279</v>
      </c>
    </row>
    <row r="24" spans="1:9" x14ac:dyDescent="0.35">
      <c r="A24" s="42" t="s">
        <v>312</v>
      </c>
      <c r="B24" s="42"/>
      <c r="C24" s="42"/>
      <c r="D24" s="42"/>
      <c r="E24" s="42"/>
      <c r="F24" s="42"/>
      <c r="G24" s="42"/>
      <c r="H24" s="42"/>
      <c r="I24" s="42"/>
    </row>
    <row r="25" spans="1:9" x14ac:dyDescent="0.35">
      <c r="A25" s="16" t="s">
        <v>97</v>
      </c>
      <c r="B25" s="16" t="s">
        <v>270</v>
      </c>
      <c r="C25" s="16" t="s">
        <v>98</v>
      </c>
      <c r="D25" s="16" t="s">
        <v>271</v>
      </c>
      <c r="E25" s="16" t="s">
        <v>272</v>
      </c>
      <c r="F25" s="16" t="s">
        <v>273</v>
      </c>
      <c r="G25" s="16" t="s">
        <v>63</v>
      </c>
      <c r="H25" s="16" t="s">
        <v>274</v>
      </c>
      <c r="I25" s="16" t="s">
        <v>64</v>
      </c>
    </row>
    <row r="26" spans="1:9" x14ac:dyDescent="0.35">
      <c r="A26" s="17" t="s">
        <v>313</v>
      </c>
      <c r="B26" s="30" t="s">
        <v>314</v>
      </c>
      <c r="C26" s="37" t="s">
        <v>315</v>
      </c>
      <c r="D26" s="38">
        <v>4</v>
      </c>
      <c r="E26" s="38">
        <v>3</v>
      </c>
      <c r="F26" s="39">
        <f>IF(D26="","",D26*E26)</f>
        <v>12</v>
      </c>
      <c r="G26" s="40" t="s">
        <v>77</v>
      </c>
      <c r="H26" s="37" t="s">
        <v>316</v>
      </c>
      <c r="I26" s="40" t="s">
        <v>279</v>
      </c>
    </row>
    <row r="27" spans="1:9" x14ac:dyDescent="0.35">
      <c r="A27" s="17" t="s">
        <v>317</v>
      </c>
      <c r="B27" s="30" t="s">
        <v>314</v>
      </c>
      <c r="C27" s="37" t="s">
        <v>318</v>
      </c>
      <c r="D27" s="38">
        <v>4</v>
      </c>
      <c r="E27" s="38">
        <v>3</v>
      </c>
      <c r="F27" s="39">
        <f>IF(D27="","",D27*E27)</f>
        <v>12</v>
      </c>
      <c r="G27" s="40" t="s">
        <v>93</v>
      </c>
      <c r="H27" s="37" t="s">
        <v>319</v>
      </c>
      <c r="I27" s="40" t="s">
        <v>279</v>
      </c>
    </row>
    <row r="28" spans="1:9" x14ac:dyDescent="0.35">
      <c r="A28" s="17" t="s">
        <v>320</v>
      </c>
      <c r="B28" s="30" t="s">
        <v>314</v>
      </c>
      <c r="C28" s="37" t="s">
        <v>321</v>
      </c>
      <c r="D28" s="38">
        <v>3</v>
      </c>
      <c r="E28" s="38">
        <v>2</v>
      </c>
      <c r="F28" s="39">
        <f>IF(D28="","",D28*E28)</f>
        <v>6</v>
      </c>
      <c r="G28" s="40" t="s">
        <v>29</v>
      </c>
      <c r="H28" s="37" t="s">
        <v>322</v>
      </c>
      <c r="I28" s="40" t="s">
        <v>279</v>
      </c>
    </row>
  </sheetData>
  <mergeCells count="5">
    <mergeCell ref="A1:I1"/>
    <mergeCell ref="A3:I3"/>
    <mergeCell ref="A12:I12"/>
    <mergeCell ref="A20:I20"/>
    <mergeCell ref="A24:I24"/>
  </mergeCells>
  <dataValidations count="1">
    <dataValidation type="list" allowBlank="1" sqref="I5:I10 I26:I28 I22 I14:I18" xr:uid="{00000000-0002-0000-0700-000000000000}">
      <formula1>"Open,In Progress,Closed,Accepted"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J1"/>
    </sheetView>
  </sheetViews>
  <sheetFormatPr defaultColWidth="8.6328125" defaultRowHeight="14.5" x14ac:dyDescent="0.35"/>
  <cols>
    <col min="1" max="1" width="40.1796875" style="2" customWidth="1"/>
    <col min="2" max="2" width="6.453125" style="2" customWidth="1"/>
    <col min="3" max="3" width="5.7265625" style="2" customWidth="1"/>
    <col min="4" max="4" width="7.6328125" style="2" bestFit="1" customWidth="1"/>
    <col min="5" max="5" width="7.7265625" style="2" bestFit="1" customWidth="1"/>
    <col min="6" max="6" width="7.1796875" style="2" bestFit="1" customWidth="1"/>
    <col min="7" max="7" width="6.7265625" style="2" bestFit="1" customWidth="1"/>
    <col min="8" max="8" width="8.26953125" style="2" customWidth="1"/>
    <col min="9" max="16384" width="8.6328125" style="2"/>
  </cols>
  <sheetData>
    <row r="1" spans="1:10" ht="17" x14ac:dyDescent="0.35">
      <c r="A1" s="21" t="s">
        <v>323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5">
      <c r="A2" s="26" t="s">
        <v>324</v>
      </c>
      <c r="B2" s="26"/>
      <c r="C2" s="27" t="s">
        <v>325</v>
      </c>
      <c r="D2" s="27"/>
      <c r="E2" s="28" t="s">
        <v>326</v>
      </c>
      <c r="F2" s="28"/>
      <c r="G2" s="29" t="s">
        <v>327</v>
      </c>
      <c r="H2" s="29"/>
    </row>
    <row r="4" spans="1:10" x14ac:dyDescent="0.35">
      <c r="A4" s="16" t="s">
        <v>328</v>
      </c>
      <c r="B4" s="16" t="s">
        <v>29</v>
      </c>
      <c r="C4" s="16" t="s">
        <v>77</v>
      </c>
      <c r="D4" s="16" t="s">
        <v>80</v>
      </c>
      <c r="E4" s="16" t="s">
        <v>84</v>
      </c>
      <c r="F4" s="16" t="s">
        <v>87</v>
      </c>
      <c r="G4" s="16" t="s">
        <v>93</v>
      </c>
      <c r="H4" s="16" t="s">
        <v>90</v>
      </c>
    </row>
    <row r="5" spans="1:10" x14ac:dyDescent="0.35">
      <c r="A5" s="30" t="s">
        <v>237</v>
      </c>
      <c r="B5" s="31" t="s">
        <v>329</v>
      </c>
      <c r="C5" s="32" t="s">
        <v>330</v>
      </c>
      <c r="D5" s="32" t="s">
        <v>330</v>
      </c>
      <c r="E5" s="32" t="s">
        <v>330</v>
      </c>
      <c r="F5" s="32" t="s">
        <v>330</v>
      </c>
      <c r="G5" s="33" t="s">
        <v>331</v>
      </c>
      <c r="H5" s="32" t="s">
        <v>330</v>
      </c>
    </row>
    <row r="6" spans="1:10" x14ac:dyDescent="0.35">
      <c r="A6" s="34" t="s">
        <v>332</v>
      </c>
      <c r="B6" s="31" t="s">
        <v>329</v>
      </c>
      <c r="C6" s="35" t="s">
        <v>333</v>
      </c>
      <c r="D6" s="32" t="s">
        <v>330</v>
      </c>
      <c r="E6" s="32" t="s">
        <v>330</v>
      </c>
      <c r="F6" s="32" t="s">
        <v>330</v>
      </c>
      <c r="G6" s="33" t="s">
        <v>331</v>
      </c>
      <c r="H6" s="32" t="s">
        <v>330</v>
      </c>
    </row>
    <row r="7" spans="1:10" x14ac:dyDescent="0.35">
      <c r="A7" s="30" t="s">
        <v>334</v>
      </c>
      <c r="B7" s="33" t="s">
        <v>331</v>
      </c>
      <c r="C7" s="32" t="s">
        <v>330</v>
      </c>
      <c r="D7" s="35" t="s">
        <v>333</v>
      </c>
      <c r="E7" s="32" t="s">
        <v>330</v>
      </c>
      <c r="F7" s="33" t="s">
        <v>331</v>
      </c>
      <c r="G7" s="32" t="s">
        <v>330</v>
      </c>
      <c r="H7" s="31" t="s">
        <v>329</v>
      </c>
    </row>
    <row r="8" spans="1:10" x14ac:dyDescent="0.35">
      <c r="A8" s="34" t="s">
        <v>335</v>
      </c>
      <c r="B8" s="31" t="s">
        <v>329</v>
      </c>
      <c r="C8" s="33" t="s">
        <v>331</v>
      </c>
      <c r="D8" s="33" t="s">
        <v>331</v>
      </c>
      <c r="E8" s="33" t="s">
        <v>331</v>
      </c>
      <c r="F8" s="33" t="s">
        <v>331</v>
      </c>
      <c r="G8" s="33" t="s">
        <v>331</v>
      </c>
      <c r="H8" s="32" t="s">
        <v>330</v>
      </c>
    </row>
    <row r="9" spans="1:10" x14ac:dyDescent="0.35">
      <c r="A9" s="30" t="s">
        <v>336</v>
      </c>
      <c r="B9" s="33" t="s">
        <v>331</v>
      </c>
      <c r="C9" s="32" t="s">
        <v>330</v>
      </c>
      <c r="D9" s="32" t="s">
        <v>330</v>
      </c>
      <c r="E9" s="35" t="s">
        <v>333</v>
      </c>
      <c r="F9" s="33" t="s">
        <v>331</v>
      </c>
      <c r="G9" s="32" t="s">
        <v>330</v>
      </c>
      <c r="H9" s="33" t="s">
        <v>331</v>
      </c>
    </row>
    <row r="10" spans="1:10" x14ac:dyDescent="0.35">
      <c r="A10" s="34" t="s">
        <v>337</v>
      </c>
      <c r="B10" s="33" t="s">
        <v>331</v>
      </c>
      <c r="C10" s="32" t="s">
        <v>330</v>
      </c>
      <c r="D10" s="31" t="s">
        <v>329</v>
      </c>
      <c r="E10" s="35" t="s">
        <v>333</v>
      </c>
      <c r="F10" s="33" t="s">
        <v>331</v>
      </c>
      <c r="G10" s="32" t="s">
        <v>330</v>
      </c>
      <c r="H10" s="33" t="s">
        <v>331</v>
      </c>
    </row>
    <row r="11" spans="1:10" x14ac:dyDescent="0.35">
      <c r="A11" s="30" t="s">
        <v>338</v>
      </c>
      <c r="B11" s="33" t="s">
        <v>331</v>
      </c>
      <c r="C11" s="33" t="s">
        <v>331</v>
      </c>
      <c r="D11" s="32" t="s">
        <v>330</v>
      </c>
      <c r="E11" s="35" t="s">
        <v>333</v>
      </c>
      <c r="F11" s="33" t="s">
        <v>331</v>
      </c>
      <c r="G11" s="32" t="s">
        <v>330</v>
      </c>
      <c r="H11" s="33" t="s">
        <v>331</v>
      </c>
    </row>
    <row r="12" spans="1:10" x14ac:dyDescent="0.35">
      <c r="A12" s="34" t="s">
        <v>339</v>
      </c>
      <c r="B12" s="33" t="s">
        <v>331</v>
      </c>
      <c r="C12" s="33" t="s">
        <v>331</v>
      </c>
      <c r="D12" s="31" t="s">
        <v>329</v>
      </c>
      <c r="E12" s="35" t="s">
        <v>333</v>
      </c>
      <c r="F12" s="32" t="s">
        <v>330</v>
      </c>
      <c r="G12" s="32" t="s">
        <v>330</v>
      </c>
      <c r="H12" s="33" t="s">
        <v>331</v>
      </c>
    </row>
    <row r="13" spans="1:10" x14ac:dyDescent="0.35">
      <c r="A13" s="30" t="s">
        <v>340</v>
      </c>
      <c r="B13" s="33" t="s">
        <v>331</v>
      </c>
      <c r="C13" s="32" t="s">
        <v>330</v>
      </c>
      <c r="D13" s="32" t="s">
        <v>330</v>
      </c>
      <c r="E13" s="32" t="s">
        <v>330</v>
      </c>
      <c r="F13" s="35" t="s">
        <v>333</v>
      </c>
      <c r="G13" s="32" t="s">
        <v>330</v>
      </c>
      <c r="H13" s="31" t="s">
        <v>329</v>
      </c>
    </row>
    <row r="14" spans="1:10" x14ac:dyDescent="0.35">
      <c r="A14" s="34" t="s">
        <v>341</v>
      </c>
      <c r="B14" s="33" t="s">
        <v>331</v>
      </c>
      <c r="C14" s="33" t="s">
        <v>331</v>
      </c>
      <c r="D14" s="32" t="s">
        <v>330</v>
      </c>
      <c r="E14" s="32" t="s">
        <v>330</v>
      </c>
      <c r="F14" s="35" t="s">
        <v>333</v>
      </c>
      <c r="G14" s="32" t="s">
        <v>330</v>
      </c>
      <c r="H14" s="33" t="s">
        <v>331</v>
      </c>
    </row>
    <row r="15" spans="1:10" x14ac:dyDescent="0.35">
      <c r="A15" s="30" t="s">
        <v>342</v>
      </c>
      <c r="B15" s="33" t="s">
        <v>331</v>
      </c>
      <c r="C15" s="33" t="s">
        <v>331</v>
      </c>
      <c r="D15" s="32" t="s">
        <v>330</v>
      </c>
      <c r="E15" s="32" t="s">
        <v>330</v>
      </c>
      <c r="F15" s="32" t="s">
        <v>330</v>
      </c>
      <c r="G15" s="35" t="s">
        <v>333</v>
      </c>
      <c r="H15" s="33" t="s">
        <v>331</v>
      </c>
    </row>
    <row r="16" spans="1:10" x14ac:dyDescent="0.35">
      <c r="A16" s="34" t="s">
        <v>343</v>
      </c>
      <c r="B16" s="31" t="s">
        <v>329</v>
      </c>
      <c r="C16" s="32" t="s">
        <v>330</v>
      </c>
      <c r="D16" s="33" t="s">
        <v>331</v>
      </c>
      <c r="E16" s="33" t="s">
        <v>331</v>
      </c>
      <c r="F16" s="32" t="s">
        <v>330</v>
      </c>
      <c r="G16" s="33" t="s">
        <v>331</v>
      </c>
      <c r="H16" s="35" t="s">
        <v>333</v>
      </c>
    </row>
    <row r="17" spans="1:8" x14ac:dyDescent="0.35">
      <c r="A17" s="30" t="s">
        <v>249</v>
      </c>
      <c r="B17" s="33" t="s">
        <v>331</v>
      </c>
      <c r="C17" s="33" t="s">
        <v>331</v>
      </c>
      <c r="D17" s="33" t="s">
        <v>331</v>
      </c>
      <c r="E17" s="33" t="s">
        <v>331</v>
      </c>
      <c r="F17" s="33" t="s">
        <v>331</v>
      </c>
      <c r="G17" s="33" t="s">
        <v>331</v>
      </c>
      <c r="H17" s="31" t="s">
        <v>329</v>
      </c>
    </row>
    <row r="18" spans="1:8" x14ac:dyDescent="0.35">
      <c r="A18" s="34" t="s">
        <v>344</v>
      </c>
      <c r="B18" s="31" t="s">
        <v>329</v>
      </c>
      <c r="C18" s="33" t="s">
        <v>331</v>
      </c>
      <c r="D18" s="32" t="s">
        <v>330</v>
      </c>
      <c r="E18" s="32" t="s">
        <v>330</v>
      </c>
      <c r="F18" s="33" t="s">
        <v>331</v>
      </c>
      <c r="G18" s="35" t="s">
        <v>333</v>
      </c>
      <c r="H18" s="33" t="s">
        <v>331</v>
      </c>
    </row>
    <row r="19" spans="1:8" x14ac:dyDescent="0.35">
      <c r="A19" s="30" t="s">
        <v>345</v>
      </c>
      <c r="B19" s="31" t="s">
        <v>329</v>
      </c>
      <c r="C19" s="33" t="s">
        <v>331</v>
      </c>
      <c r="D19" s="32" t="s">
        <v>330</v>
      </c>
      <c r="E19" s="32" t="s">
        <v>330</v>
      </c>
      <c r="F19" s="32" t="s">
        <v>330</v>
      </c>
      <c r="G19" s="35" t="s">
        <v>333</v>
      </c>
      <c r="H19" s="33" t="s">
        <v>331</v>
      </c>
    </row>
    <row r="20" spans="1:8" x14ac:dyDescent="0.35">
      <c r="A20" s="34" t="s">
        <v>346</v>
      </c>
      <c r="B20" s="31" t="s">
        <v>329</v>
      </c>
      <c r="C20" s="33" t="s">
        <v>331</v>
      </c>
      <c r="D20" s="33" t="s">
        <v>331</v>
      </c>
      <c r="E20" s="33" t="s">
        <v>331</v>
      </c>
      <c r="F20" s="33" t="s">
        <v>331</v>
      </c>
      <c r="G20" s="33" t="s">
        <v>331</v>
      </c>
      <c r="H20" s="35" t="s">
        <v>333</v>
      </c>
    </row>
    <row r="21" spans="1:8" x14ac:dyDescent="0.35">
      <c r="A21" s="30" t="s">
        <v>347</v>
      </c>
      <c r="B21" s="35" t="s">
        <v>333</v>
      </c>
      <c r="C21" s="33" t="s">
        <v>331</v>
      </c>
      <c r="D21" s="32" t="s">
        <v>330</v>
      </c>
      <c r="E21" s="32" t="s">
        <v>330</v>
      </c>
      <c r="F21" s="32" t="s">
        <v>330</v>
      </c>
      <c r="G21" s="32" t="s">
        <v>330</v>
      </c>
      <c r="H21" s="33" t="s">
        <v>331</v>
      </c>
    </row>
    <row r="22" spans="1:8" x14ac:dyDescent="0.35">
      <c r="A22" s="34" t="s">
        <v>348</v>
      </c>
      <c r="B22" s="31" t="s">
        <v>329</v>
      </c>
      <c r="C22" s="32" t="s">
        <v>330</v>
      </c>
      <c r="D22" s="32" t="s">
        <v>330</v>
      </c>
      <c r="E22" s="33" t="s">
        <v>331</v>
      </c>
      <c r="F22" s="33" t="s">
        <v>331</v>
      </c>
      <c r="G22" s="33" t="s">
        <v>331</v>
      </c>
      <c r="H22" s="35" t="s">
        <v>333</v>
      </c>
    </row>
    <row r="23" spans="1:8" x14ac:dyDescent="0.35">
      <c r="A23" s="30" t="s">
        <v>349</v>
      </c>
      <c r="B23" s="35" t="s">
        <v>333</v>
      </c>
      <c r="C23" s="32" t="s">
        <v>330</v>
      </c>
      <c r="D23" s="32" t="s">
        <v>330</v>
      </c>
      <c r="E23" s="32" t="s">
        <v>330</v>
      </c>
      <c r="F23" s="32" t="s">
        <v>330</v>
      </c>
      <c r="G23" s="32" t="s">
        <v>330</v>
      </c>
      <c r="H23" s="31" t="s">
        <v>329</v>
      </c>
    </row>
    <row r="24" spans="1:8" x14ac:dyDescent="0.35">
      <c r="A24" s="34" t="s">
        <v>350</v>
      </c>
      <c r="B24" s="35" t="s">
        <v>333</v>
      </c>
      <c r="C24" s="33" t="s">
        <v>331</v>
      </c>
      <c r="D24" s="33" t="s">
        <v>331</v>
      </c>
      <c r="E24" s="33" t="s">
        <v>331</v>
      </c>
      <c r="F24" s="33" t="s">
        <v>331</v>
      </c>
      <c r="G24" s="33" t="s">
        <v>331</v>
      </c>
      <c r="H24" s="31" t="s">
        <v>329</v>
      </c>
    </row>
    <row r="25" spans="1:8" x14ac:dyDescent="0.35">
      <c r="A25" s="30" t="s">
        <v>351</v>
      </c>
      <c r="B25" s="35" t="s">
        <v>333</v>
      </c>
      <c r="C25" s="32" t="s">
        <v>330</v>
      </c>
      <c r="D25" s="32" t="s">
        <v>330</v>
      </c>
      <c r="E25" s="32" t="s">
        <v>330</v>
      </c>
      <c r="F25" s="32" t="s">
        <v>330</v>
      </c>
      <c r="G25" s="32" t="s">
        <v>330</v>
      </c>
      <c r="H25" s="31" t="s">
        <v>329</v>
      </c>
    </row>
    <row r="26" spans="1:8" x14ac:dyDescent="0.35">
      <c r="A26" s="34" t="s">
        <v>352</v>
      </c>
      <c r="B26" s="33" t="s">
        <v>331</v>
      </c>
      <c r="C26" s="32" t="s">
        <v>330</v>
      </c>
      <c r="D26" s="35" t="s">
        <v>333</v>
      </c>
      <c r="E26" s="32" t="s">
        <v>330</v>
      </c>
      <c r="F26" s="33" t="s">
        <v>331</v>
      </c>
      <c r="G26" s="33" t="s">
        <v>331</v>
      </c>
      <c r="H26" s="31" t="s">
        <v>329</v>
      </c>
    </row>
    <row r="27" spans="1:8" x14ac:dyDescent="0.35">
      <c r="A27" s="30" t="s">
        <v>353</v>
      </c>
      <c r="B27" s="33" t="s">
        <v>331</v>
      </c>
      <c r="C27" s="35" t="s">
        <v>333</v>
      </c>
      <c r="D27" s="32" t="s">
        <v>330</v>
      </c>
      <c r="E27" s="33" t="s">
        <v>331</v>
      </c>
      <c r="F27" s="33" t="s">
        <v>331</v>
      </c>
      <c r="G27" s="32" t="s">
        <v>330</v>
      </c>
      <c r="H27" s="31" t="s">
        <v>329</v>
      </c>
    </row>
    <row r="28" spans="1:8" x14ac:dyDescent="0.35">
      <c r="A28" s="34" t="s">
        <v>354</v>
      </c>
      <c r="B28" s="35" t="s">
        <v>333</v>
      </c>
      <c r="C28" s="32" t="s">
        <v>330</v>
      </c>
      <c r="D28" s="33" t="s">
        <v>331</v>
      </c>
      <c r="E28" s="33" t="s">
        <v>331</v>
      </c>
      <c r="F28" s="33" t="s">
        <v>331</v>
      </c>
      <c r="G28" s="33" t="s">
        <v>331</v>
      </c>
      <c r="H28" s="31" t="s">
        <v>329</v>
      </c>
    </row>
  </sheetData>
  <mergeCells count="5">
    <mergeCell ref="A1:J1"/>
    <mergeCell ref="A2:B2"/>
    <mergeCell ref="C2:D2"/>
    <mergeCell ref="E2:F2"/>
    <mergeCell ref="G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4"/>
  <sheetViews>
    <sheetView showGridLines="0" zoomScaleNormal="100" workbookViewId="0">
      <pane ySplit="3" topLeftCell="A4" activePane="bottomLeft" state="frozen"/>
      <selection pane="bottomLeft" activeCell="D12" sqref="D12"/>
    </sheetView>
  </sheetViews>
  <sheetFormatPr defaultColWidth="8.6328125" defaultRowHeight="14.5" x14ac:dyDescent="0.35"/>
  <cols>
    <col min="1" max="1" width="6.54296875" style="2" bestFit="1" customWidth="1"/>
    <col min="2" max="2" width="9.90625" style="2" bestFit="1" customWidth="1"/>
    <col min="3" max="3" width="8.08984375" style="2" bestFit="1" customWidth="1"/>
    <col min="4" max="4" width="5.6328125" style="2" bestFit="1" customWidth="1"/>
    <col min="5" max="5" width="34" style="2" bestFit="1" customWidth="1"/>
    <col min="6" max="6" width="15.81640625" style="2" bestFit="1" customWidth="1"/>
    <col min="7" max="7" width="16.81640625" style="2" bestFit="1" customWidth="1"/>
    <col min="8" max="8" width="10.54296875" style="2" bestFit="1" customWidth="1"/>
    <col min="9" max="9" width="11.81640625" style="2" bestFit="1" customWidth="1"/>
    <col min="10" max="10" width="8.453125" style="2" bestFit="1" customWidth="1"/>
    <col min="11" max="11" width="15.26953125" style="2" bestFit="1" customWidth="1"/>
    <col min="12" max="16384" width="8.6328125" style="2"/>
  </cols>
  <sheetData>
    <row r="1" spans="1:11" ht="17" x14ac:dyDescent="0.35">
      <c r="A1" s="21" t="s">
        <v>355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x14ac:dyDescent="0.35">
      <c r="A2" s="22" t="s">
        <v>356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x14ac:dyDescent="0.35">
      <c r="A3" s="23" t="s">
        <v>357</v>
      </c>
      <c r="B3" s="23" t="s">
        <v>358</v>
      </c>
      <c r="C3" s="23" t="s">
        <v>359</v>
      </c>
      <c r="D3" s="23" t="s">
        <v>270</v>
      </c>
      <c r="E3" s="23" t="s">
        <v>98</v>
      </c>
      <c r="F3" s="23" t="s">
        <v>360</v>
      </c>
      <c r="G3" s="23" t="s">
        <v>361</v>
      </c>
      <c r="H3" s="23" t="s">
        <v>362</v>
      </c>
      <c r="I3" s="23" t="s">
        <v>363</v>
      </c>
      <c r="J3" s="23" t="s">
        <v>64</v>
      </c>
      <c r="K3" s="23" t="s">
        <v>364</v>
      </c>
    </row>
    <row r="4" spans="1:11" x14ac:dyDescent="0.35">
      <c r="A4" s="24" t="s">
        <v>365</v>
      </c>
      <c r="B4" s="24" t="s">
        <v>68</v>
      </c>
      <c r="C4" s="24" t="s">
        <v>29</v>
      </c>
      <c r="D4" s="24" t="s">
        <v>366</v>
      </c>
      <c r="E4" s="24" t="s">
        <v>367</v>
      </c>
      <c r="F4" s="24" t="s">
        <v>368</v>
      </c>
      <c r="G4" s="24" t="s">
        <v>369</v>
      </c>
      <c r="H4" s="24" t="s">
        <v>370</v>
      </c>
      <c r="I4" s="24" t="s">
        <v>371</v>
      </c>
      <c r="J4" s="24" t="s">
        <v>372</v>
      </c>
      <c r="K4" s="24" t="s">
        <v>68</v>
      </c>
    </row>
    <row r="5" spans="1:11" x14ac:dyDescent="0.3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3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x14ac:dyDescent="0.3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x14ac:dyDescent="0.3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11" x14ac:dyDescent="0.3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</row>
    <row r="10" spans="1:11" x14ac:dyDescent="0.3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</row>
    <row r="11" spans="1:11" x14ac:dyDescent="0.3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</row>
    <row r="12" spans="1:11" x14ac:dyDescent="0.3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11" x14ac:dyDescent="0.3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</row>
    <row r="14" spans="1:11" x14ac:dyDescent="0.3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</row>
    <row r="15" spans="1:11" x14ac:dyDescent="0.3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</row>
    <row r="16" spans="1:11" x14ac:dyDescent="0.3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</row>
    <row r="17" spans="1:11" x14ac:dyDescent="0.3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1:11" x14ac:dyDescent="0.3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</row>
    <row r="19" spans="1:11" x14ac:dyDescent="0.3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x14ac:dyDescent="0.3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</row>
    <row r="21" spans="1:11" x14ac:dyDescent="0.3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1:11" x14ac:dyDescent="0.3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1" x14ac:dyDescent="0.3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</row>
    <row r="24" spans="1:11" x14ac:dyDescent="0.3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</row>
  </sheetData>
  <mergeCells count="2">
    <mergeCell ref="A1:K1"/>
    <mergeCell ref="A2:K2"/>
  </mergeCells>
  <dataValidations count="2">
    <dataValidation type="list" allowBlank="1" sqref="D4:D24" xr:uid="{00000000-0002-0000-0A00-000000000000}">
      <formula1>"Scope,Schedule,Budget,Resource,Other"</formula1>
      <formula2>0</formula2>
    </dataValidation>
    <dataValidation type="list" allowBlank="1" sqref="J4:J24" xr:uid="{00000000-0002-0000-0A00-000001000000}">
      <formula1>"Raised,Under Review,Approved,Rejected,Deferred"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00_Home</vt:lpstr>
      <vt:lpstr>Executive_Dashboard</vt:lpstr>
      <vt:lpstr>Detailed_Task_Plan</vt:lpstr>
      <vt:lpstr>Budget_Tracker</vt:lpstr>
      <vt:lpstr>Milestone_Tracker</vt:lpstr>
      <vt:lpstr>Resource_Plan</vt:lpstr>
      <vt:lpstr>RAID_Register</vt:lpstr>
      <vt:lpstr>RACI_Matrix</vt:lpstr>
      <vt:lpstr>Change_Log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Sravan Alla</cp:lastModifiedBy>
  <cp:revision>0</cp:revision>
  <dcterms:created xsi:type="dcterms:W3CDTF">2026-07-19T00:17:02Z</dcterms:created>
  <dcterms:modified xsi:type="dcterms:W3CDTF">2026-07-19T02:12:27Z</dcterms:modified>
  <dc:language>en-US</dc:language>
</cp:coreProperties>
</file>